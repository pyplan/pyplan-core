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629" codeName="{54D0D2CB-4C12-4D6E-6EDF-ACB5E8E520A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ucas Lascano\Desktop\"/>
    </mc:Choice>
  </mc:AlternateContent>
  <xr:revisionPtr revIDLastSave="0" documentId="8_{251F3993-322D-49E2-AF7B-614C5EF1B712}" xr6:coauthVersionLast="43" xr6:coauthVersionMax="43" xr10:uidLastSave="{00000000-0000-0000-0000-000000000000}"/>
  <bookViews>
    <workbookView xWindow="-120" yWindow="-120" windowWidth="20730" windowHeight="11160" tabRatio="792"/>
  </bookViews>
  <sheets>
    <sheet name="Front Page" sheetId="42" r:id="rId1"/>
    <sheet name="Front_page" sheetId="43" state="hidden" r:id="rId2"/>
    <sheet name="Potential Market" sheetId="44" r:id="rId3"/>
    <sheet name="Potential_mkt" sheetId="45" state="hidden" r:id="rId4"/>
    <sheet name="OPEX" sheetId="58" r:id="rId5"/>
    <sheet name="Opex_" sheetId="59" state="hidden" r:id="rId6"/>
    <sheet name="Financial Statements" sheetId="62" r:id="rId7"/>
    <sheet name="Financial_statements" sheetId="63" state="hidden" r:id="rId8"/>
  </sheets>
  <functionGroups builtInGroupCount="19"/>
  <externalReferences>
    <externalReference r:id="rId9"/>
  </externalReferences>
  <definedNames>
    <definedName name="Alt_transport">#REF!</definedName>
    <definedName name="Curr_tariffs">Opex_!$B$1:$E$37</definedName>
    <definedName name="Dom_alt_png_em">#REF!</definedName>
    <definedName name="Dom_con_cost">#REF!</definedName>
    <definedName name="Dom_cu_affo_em">#REF!</definedName>
    <definedName name="Dom_dis_matrix">#REF!</definedName>
    <definedName name="Dom_gen_info" localSheetId="5">Opex_!$B$1:$E$73</definedName>
    <definedName name="Dom_gen_info">Potential_mkt!$B$1:$E$73</definedName>
    <definedName name="Dom_ggcl_con_capa">#REF!</definedName>
    <definedName name="Dom_org_growth">#REF!</definedName>
    <definedName name="Dom_pen_curve">#REF!</definedName>
    <definedName name="Dom_ty_cu_consump">#REF!</definedName>
    <definedName name="Estados_financieros">Financial_statements!$A$1:$B$28</definedName>
    <definedName name="Financial_statements">Financial_statements!$A$1:$B$28</definedName>
    <definedName name="Front_page">Front_page!$A$1:$C$9</definedName>
    <definedName name="Global_dem" localSheetId="5">Opex_!$B$1:$E$73</definedName>
    <definedName name="Global_dem">Potential_mkt!$B$1:$E$37</definedName>
    <definedName name="Open_balance">Financial_statements!$A$1:$B$37</definedName>
    <definedName name="Opex_">Opex_!$A$1:$J$20</definedName>
    <definedName name="Potential_mkt">Potential_mkt!$A$1:$E$20</definedName>
    <definedName name="Projects_data">#REF!</definedName>
    <definedName name="Time_and_dist_by_route">#REF!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8" i="63" l="1"/>
  <c r="A28" i="63"/>
  <c r="B27" i="63"/>
  <c r="A27" i="63"/>
  <c r="B26" i="63"/>
  <c r="A26" i="63"/>
  <c r="B25" i="63"/>
  <c r="A25" i="63"/>
  <c r="B24" i="63"/>
  <c r="A24" i="63"/>
  <c r="B23" i="63"/>
  <c r="A23" i="63"/>
  <c r="B22" i="63"/>
  <c r="A22" i="63"/>
  <c r="B21" i="63"/>
  <c r="A21" i="63"/>
  <c r="B20" i="63"/>
  <c r="A20" i="63"/>
  <c r="B19" i="63"/>
  <c r="A19" i="63"/>
  <c r="B18" i="63"/>
  <c r="A18" i="63"/>
  <c r="B17" i="63"/>
  <c r="A17" i="63"/>
  <c r="B16" i="63"/>
  <c r="A16" i="63"/>
  <c r="B15" i="63"/>
  <c r="A15" i="63"/>
  <c r="B14" i="63"/>
  <c r="A14" i="63"/>
  <c r="B13" i="63"/>
  <c r="A13" i="63"/>
  <c r="B12" i="63"/>
  <c r="A12" i="63"/>
  <c r="B11" i="63"/>
  <c r="A11" i="63"/>
  <c r="B10" i="63"/>
  <c r="A10" i="63"/>
  <c r="B9" i="63"/>
  <c r="A9" i="63"/>
  <c r="B8" i="63"/>
  <c r="A8" i="63"/>
  <c r="B7" i="63"/>
  <c r="A7" i="63"/>
  <c r="B6" i="63"/>
  <c r="A6" i="63"/>
  <c r="B5" i="63"/>
  <c r="A5" i="63"/>
  <c r="B4" i="63"/>
  <c r="A4" i="63"/>
  <c r="B3" i="63"/>
  <c r="A3" i="63"/>
  <c r="J20" i="59"/>
  <c r="I20" i="59"/>
  <c r="H20" i="59"/>
  <c r="G20" i="59"/>
  <c r="F20" i="59"/>
  <c r="E20" i="59"/>
  <c r="D20" i="59"/>
  <c r="C20" i="59"/>
  <c r="B20" i="59"/>
  <c r="A20" i="59"/>
  <c r="J19" i="59"/>
  <c r="I19" i="59"/>
  <c r="H19" i="59"/>
  <c r="G19" i="59"/>
  <c r="F19" i="59"/>
  <c r="E19" i="59"/>
  <c r="D19" i="59"/>
  <c r="C19" i="59"/>
  <c r="B19" i="59"/>
  <c r="A19" i="59"/>
  <c r="J18" i="59"/>
  <c r="I18" i="59"/>
  <c r="H18" i="59"/>
  <c r="G18" i="59"/>
  <c r="F18" i="59"/>
  <c r="E18" i="59"/>
  <c r="D18" i="59"/>
  <c r="C18" i="59"/>
  <c r="B18" i="59"/>
  <c r="A18" i="59"/>
  <c r="J17" i="59"/>
  <c r="I17" i="59"/>
  <c r="H17" i="59"/>
  <c r="G17" i="59"/>
  <c r="F17" i="59"/>
  <c r="E17" i="59"/>
  <c r="D17" i="59"/>
  <c r="C17" i="59"/>
  <c r="B17" i="59"/>
  <c r="A17" i="59"/>
  <c r="J16" i="59"/>
  <c r="I16" i="59"/>
  <c r="H16" i="59"/>
  <c r="G16" i="59"/>
  <c r="F16" i="59"/>
  <c r="E16" i="59"/>
  <c r="D16" i="59"/>
  <c r="C16" i="59"/>
  <c r="B16" i="59"/>
  <c r="A16" i="59"/>
  <c r="J15" i="59"/>
  <c r="I15" i="59"/>
  <c r="H15" i="59"/>
  <c r="G15" i="59"/>
  <c r="F15" i="59"/>
  <c r="E15" i="59"/>
  <c r="D15" i="59"/>
  <c r="C15" i="59"/>
  <c r="B15" i="59"/>
  <c r="A15" i="59"/>
  <c r="J14" i="59"/>
  <c r="I14" i="59"/>
  <c r="H14" i="59"/>
  <c r="G14" i="59"/>
  <c r="F14" i="59"/>
  <c r="E14" i="59"/>
  <c r="D14" i="59"/>
  <c r="C14" i="59"/>
  <c r="B14" i="59"/>
  <c r="A14" i="59"/>
  <c r="J13" i="59"/>
  <c r="I13" i="59"/>
  <c r="H13" i="59"/>
  <c r="G13" i="59"/>
  <c r="F13" i="59"/>
  <c r="E13" i="59"/>
  <c r="D13" i="59"/>
  <c r="C13" i="59"/>
  <c r="B13" i="59"/>
  <c r="A13" i="59"/>
  <c r="J12" i="59"/>
  <c r="I12" i="59"/>
  <c r="H12" i="59"/>
  <c r="G12" i="59"/>
  <c r="F12" i="59"/>
  <c r="E12" i="59"/>
  <c r="D12" i="59"/>
  <c r="C12" i="59"/>
  <c r="B12" i="59"/>
  <c r="A12" i="59"/>
  <c r="J11" i="59"/>
  <c r="I11" i="59"/>
  <c r="H11" i="59"/>
  <c r="G11" i="59"/>
  <c r="F11" i="59"/>
  <c r="E11" i="59"/>
  <c r="D11" i="59"/>
  <c r="C11" i="59"/>
  <c r="B11" i="59"/>
  <c r="A11" i="59"/>
  <c r="J10" i="59"/>
  <c r="I10" i="59"/>
  <c r="H10" i="59"/>
  <c r="G10" i="59"/>
  <c r="F10" i="59"/>
  <c r="E10" i="59"/>
  <c r="D10" i="59"/>
  <c r="C10" i="59"/>
  <c r="B10" i="59"/>
  <c r="A10" i="59"/>
  <c r="J9" i="59"/>
  <c r="I9" i="59"/>
  <c r="H9" i="59"/>
  <c r="G9" i="59"/>
  <c r="F9" i="59"/>
  <c r="E9" i="59"/>
  <c r="D9" i="59"/>
  <c r="C9" i="59"/>
  <c r="B9" i="59"/>
  <c r="A9" i="59"/>
  <c r="J8" i="59"/>
  <c r="I8" i="59"/>
  <c r="H8" i="59"/>
  <c r="G8" i="59"/>
  <c r="F8" i="59"/>
  <c r="E8" i="59"/>
  <c r="D8" i="59"/>
  <c r="C8" i="59"/>
  <c r="B8" i="59"/>
  <c r="A8" i="59"/>
  <c r="J7" i="59"/>
  <c r="I7" i="59"/>
  <c r="H7" i="59"/>
  <c r="G7" i="59"/>
  <c r="F7" i="59"/>
  <c r="E7" i="59"/>
  <c r="D7" i="59"/>
  <c r="C7" i="59"/>
  <c r="B7" i="59"/>
  <c r="A7" i="59"/>
  <c r="J6" i="59"/>
  <c r="I6" i="59"/>
  <c r="H6" i="59"/>
  <c r="G6" i="59"/>
  <c r="F6" i="59"/>
  <c r="E6" i="59"/>
  <c r="D6" i="59"/>
  <c r="C6" i="59"/>
  <c r="B6" i="59"/>
  <c r="A6" i="59"/>
  <c r="J5" i="59"/>
  <c r="I5" i="59"/>
  <c r="H5" i="59"/>
  <c r="G5" i="59"/>
  <c r="F5" i="59"/>
  <c r="E5" i="59"/>
  <c r="D5" i="59"/>
  <c r="C5" i="59"/>
  <c r="B5" i="59"/>
  <c r="A5" i="59"/>
  <c r="J4" i="59"/>
  <c r="I4" i="59"/>
  <c r="H4" i="59"/>
  <c r="G4" i="59"/>
  <c r="F4" i="59"/>
  <c r="E4" i="59"/>
  <c r="D4" i="59"/>
  <c r="C4" i="59"/>
  <c r="B4" i="59"/>
  <c r="A4" i="59"/>
  <c r="J3" i="59"/>
  <c r="I3" i="59"/>
  <c r="H3" i="59"/>
  <c r="G3" i="59"/>
  <c r="F3" i="59"/>
  <c r="E3" i="59"/>
  <c r="D3" i="59"/>
  <c r="C3" i="59"/>
  <c r="B3" i="59"/>
  <c r="A3" i="59"/>
  <c r="E20" i="45"/>
  <c r="D20" i="45"/>
  <c r="C20" i="45"/>
  <c r="B20" i="45"/>
  <c r="A20" i="45"/>
  <c r="E19" i="45"/>
  <c r="D19" i="45"/>
  <c r="C19" i="45"/>
  <c r="B19" i="45"/>
  <c r="A19" i="45"/>
  <c r="E18" i="45"/>
  <c r="D18" i="45"/>
  <c r="C18" i="45"/>
  <c r="B18" i="45"/>
  <c r="A18" i="45"/>
  <c r="E17" i="45"/>
  <c r="D17" i="45"/>
  <c r="C17" i="45"/>
  <c r="B17" i="45"/>
  <c r="A17" i="45"/>
  <c r="E16" i="45"/>
  <c r="D16" i="45"/>
  <c r="C16" i="45"/>
  <c r="B16" i="45"/>
  <c r="A16" i="45"/>
  <c r="E15" i="45"/>
  <c r="D15" i="45"/>
  <c r="C15" i="45"/>
  <c r="B15" i="45"/>
  <c r="A15" i="45"/>
  <c r="E14" i="45"/>
  <c r="D14" i="45"/>
  <c r="C14" i="45"/>
  <c r="B14" i="45"/>
  <c r="A14" i="45"/>
  <c r="E13" i="45"/>
  <c r="D13" i="45"/>
  <c r="C13" i="45"/>
  <c r="B13" i="45"/>
  <c r="A13" i="45"/>
  <c r="E12" i="45"/>
  <c r="D12" i="45"/>
  <c r="C12" i="45"/>
  <c r="B12" i="45"/>
  <c r="A12" i="45"/>
  <c r="E11" i="45"/>
  <c r="D11" i="45"/>
  <c r="C11" i="45"/>
  <c r="B11" i="45"/>
  <c r="A11" i="45"/>
  <c r="E10" i="45"/>
  <c r="D10" i="45"/>
  <c r="C10" i="45"/>
  <c r="B10" i="45"/>
  <c r="A10" i="45"/>
  <c r="E9" i="45"/>
  <c r="D9" i="45"/>
  <c r="C9" i="45"/>
  <c r="B9" i="45"/>
  <c r="A9" i="45"/>
  <c r="E8" i="45"/>
  <c r="D8" i="45"/>
  <c r="C8" i="45"/>
  <c r="B8" i="45"/>
  <c r="A8" i="45"/>
  <c r="E7" i="45"/>
  <c r="D7" i="45"/>
  <c r="C7" i="45"/>
  <c r="B7" i="45"/>
  <c r="A7" i="45"/>
  <c r="E6" i="45"/>
  <c r="D6" i="45"/>
  <c r="C6" i="45"/>
  <c r="B6" i="45"/>
  <c r="A6" i="45"/>
  <c r="E5" i="45"/>
  <c r="D5" i="45"/>
  <c r="C5" i="45"/>
  <c r="B5" i="45"/>
  <c r="A5" i="45"/>
  <c r="E4" i="45"/>
  <c r="D4" i="45"/>
  <c r="C4" i="45"/>
  <c r="B4" i="45"/>
  <c r="A4" i="45"/>
  <c r="E3" i="45"/>
  <c r="D3" i="45"/>
  <c r="C3" i="45"/>
  <c r="B3" i="45"/>
  <c r="A3" i="45"/>
  <c r="B9" i="43"/>
  <c r="C9" i="43" s="1"/>
  <c r="B8" i="43"/>
  <c r="C8" i="43" s="1"/>
  <c r="B7" i="43"/>
  <c r="C7" i="43" s="1"/>
  <c r="B6" i="43"/>
  <c r="C6" i="43" s="1"/>
  <c r="B5" i="43"/>
  <c r="C5" i="43" s="1"/>
  <c r="B4" i="43"/>
  <c r="C4" i="43" s="1"/>
  <c r="B3" i="43"/>
  <c r="C3" i="43" s="1"/>
  <c r="J1" i="59"/>
  <c r="J2" i="59"/>
  <c r="I2" i="59"/>
  <c r="H2" i="59"/>
  <c r="H1" i="59"/>
  <c r="G2" i="59"/>
  <c r="F2" i="59"/>
  <c r="A2" i="59"/>
  <c r="A1" i="59"/>
  <c r="F1" i="59"/>
  <c r="E2" i="45"/>
  <c r="A2" i="45"/>
  <c r="D2" i="45"/>
  <c r="B1" i="45"/>
  <c r="B2" i="63"/>
  <c r="A2" i="63"/>
  <c r="B2" i="59"/>
  <c r="D2" i="59"/>
  <c r="E2" i="59"/>
  <c r="C2" i="59"/>
  <c r="C1" i="59"/>
  <c r="D1" i="59"/>
  <c r="E1" i="59"/>
  <c r="C2" i="45"/>
  <c r="A16" i="42"/>
  <c r="B2" i="45"/>
  <c r="B2" i="43"/>
  <c r="C2" i="43"/>
</calcChain>
</file>

<file path=xl/sharedStrings.xml><?xml version="1.0" encoding="utf-8"?>
<sst xmlns="http://schemas.openxmlformats.org/spreadsheetml/2006/main" count="110" uniqueCount="91">
  <si>
    <t>Scenario</t>
  </si>
  <si>
    <t>Current</t>
  </si>
  <si>
    <t>Sheets coloured in red are use for input data.</t>
  </si>
  <si>
    <t>Sheets in green are use to comunicate with EXCEL (These are hidden and shown by the bottoms under this line)</t>
  </si>
  <si>
    <t>Template Information Area (Autommatically generated when saving)</t>
  </si>
  <si>
    <t>Version</t>
  </si>
  <si>
    <t>Key</t>
  </si>
  <si>
    <t>Saving user</t>
  </si>
  <si>
    <t>Saving date</t>
  </si>
  <si>
    <t>Saving time</t>
  </si>
  <si>
    <t xml:space="preserve">  </t>
  </si>
  <si>
    <t>Filename</t>
  </si>
  <si>
    <t>FilePath</t>
  </si>
  <si>
    <t>Links Info</t>
  </si>
  <si>
    <t>Description of Modifications on Template (Text area to input notes about modifications introduced in the template)</t>
  </si>
  <si>
    <t>Templ_front_page_inf</t>
  </si>
  <si>
    <t>Data_value</t>
  </si>
  <si>
    <t>Value</t>
  </si>
  <si>
    <t>This File contains the inputs use in the IPM Airline</t>
  </si>
  <si>
    <t>Generic IPM Input Template</t>
  </si>
  <si>
    <t>OPEX</t>
  </si>
  <si>
    <t>Years</t>
  </si>
  <si>
    <t>Ayu Lec</t>
  </si>
  <si>
    <t>Marketing</t>
  </si>
  <si>
    <t>Ayu lec</t>
  </si>
  <si>
    <t xml:space="preserve">     -----</t>
  </si>
  <si>
    <t>Drivers</t>
  </si>
  <si>
    <t>Total_year</t>
  </si>
  <si>
    <t>Mercado Potencial</t>
  </si>
  <si>
    <t>Actividades</t>
  </si>
  <si>
    <t>Cuentas de Opex</t>
  </si>
  <si>
    <t>Empleados Existentes</t>
  </si>
  <si>
    <t>Tasa de Crecimiento Anual de Empleados</t>
  </si>
  <si>
    <t>Drivers de Activos</t>
  </si>
  <si>
    <t>Activos Existentes</t>
  </si>
  <si>
    <t>Conceptos de Balance</t>
  </si>
  <si>
    <t>Balance Inicial</t>
  </si>
  <si>
    <t>Drivers_de_Activos</t>
  </si>
  <si>
    <t>Cuentas_de_Opex</t>
  </si>
  <si>
    <t>Conceptos_de_Balance</t>
  </si>
  <si>
    <t>Opex Base en Términos Reales</t>
  </si>
  <si>
    <t>Estados Financieros</t>
  </si>
  <si>
    <t>Administration</t>
  </si>
  <si>
    <t>Commercialization</t>
  </si>
  <si>
    <t>Engineering</t>
  </si>
  <si>
    <t>Manpower</t>
  </si>
  <si>
    <t>Energy</t>
  </si>
  <si>
    <t>Taxes</t>
  </si>
  <si>
    <t>Travelling</t>
  </si>
  <si>
    <t>Communications</t>
  </si>
  <si>
    <t>Maintenance</t>
  </si>
  <si>
    <t>Others</t>
  </si>
  <si>
    <t>Building surface (m2)</t>
  </si>
  <si>
    <t>Plant &amp; Machinery (Un.)</t>
  </si>
  <si>
    <t>Vehicles (Un.)</t>
  </si>
  <si>
    <t>Cash and Banks</t>
  </si>
  <si>
    <t>Current Investments</t>
  </si>
  <si>
    <t>Inventory</t>
  </si>
  <si>
    <t>Trade Debtors</t>
  </si>
  <si>
    <t>Work in Progress</t>
  </si>
  <si>
    <t>Short Term Assets</t>
  </si>
  <si>
    <t>Net Fixed Assets</t>
  </si>
  <si>
    <t>Total Assets</t>
  </si>
  <si>
    <t>Trade Creditors</t>
  </si>
  <si>
    <t>Short Term Debt</t>
  </si>
  <si>
    <t>Short Term Liabilities</t>
  </si>
  <si>
    <t>Interest to Pay</t>
  </si>
  <si>
    <t>Long Term Debt</t>
  </si>
  <si>
    <t>Total Liabilities</t>
  </si>
  <si>
    <t>Reserves</t>
  </si>
  <si>
    <t>Retained Earnings</t>
  </si>
  <si>
    <t>Total Equity</t>
  </si>
  <si>
    <t>Difference</t>
  </si>
  <si>
    <t>Regions</t>
  </si>
  <si>
    <t>Initial Population (2014)</t>
  </si>
  <si>
    <t>Population growth rate</t>
  </si>
  <si>
    <t>Initial_population</t>
  </si>
  <si>
    <t>Population_growth_rate</t>
  </si>
  <si>
    <t>C:\Novix\Proyectos\GGCL\MOT GGCL BP 09\Indexes.xls</t>
  </si>
  <si>
    <t>Generic IPM Input Template.xls</t>
  </si>
  <si>
    <t>Region A</t>
  </si>
  <si>
    <t>Region B</t>
  </si>
  <si>
    <t>Region C</t>
  </si>
  <si>
    <t>Region D</t>
  </si>
  <si>
    <t>Region E</t>
  </si>
  <si>
    <t>Region F</t>
  </si>
  <si>
    <t>Region G</t>
  </si>
  <si>
    <t>Region H</t>
  </si>
  <si>
    <t>Region I</t>
  </si>
  <si>
    <t>Lucas Lascano</t>
  </si>
  <si>
    <t>C:\Users\Lucas Lascano\Downloads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</si>
</sst>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176" formatCode="_-* #,##0.00\ &quot;€&quot;_-;\-* #,##0.00\ &quot;€&quot;_-;_-* &quot;-&quot;??\ &quot;€&quot;_-;_-@_-"/>
    <numFmt numFmtId="185" formatCode="_(* #,##0.00_);_(* \(#,##0.00\);_(* &quot;-&quot;??_);_(@_)"/>
    <numFmt numFmtId="191" formatCode="_ * #,##0_ ;_ * \-#,##0_ ;_ * &quot;-&quot;_ ;_ @_ "/>
    <numFmt numFmtId="193" formatCode="_ * #,##0.00_ ;_ * \-#,##0.00_ ;_ * &quot;-&quot;??_ ;_ @_ "/>
    <numFmt numFmtId="201" formatCode="0.000"/>
    <numFmt numFmtId="202" formatCode="_(* #,##0_);_(* \(#,##0\);_(* &quot;-&quot;??_);_(@_)"/>
    <numFmt numFmtId="204" formatCode="00"/>
    <numFmt numFmtId="205" formatCode="0%\ "/>
    <numFmt numFmtId="206" formatCode="&quot;April &quot;d\,\ yyyy"/>
    <numFmt numFmtId="207" formatCode="[Red][&lt;&gt;0]&quot;Check&quot;;&quot;Ok&quot;"/>
    <numFmt numFmtId="208" formatCode="0.00_)"/>
    <numFmt numFmtId="209" formatCode="_(* #,##0.00_);_(* \(#,##0.00\);_(* &quot;-&quot;_);_(@_)"/>
    <numFmt numFmtId="210" formatCode="&quot;FY&quot;\&amp;yy"/>
    <numFmt numFmtId="211" formatCode="hh:mm:ss;@"/>
    <numFmt numFmtId="212" formatCode="#,##0.0"/>
    <numFmt numFmtId="214" formatCode="_ * #,##0_ ;_ * \-#,##0_ ;_ * &quot;-&quot;??_ ;_ @_ "/>
    <numFmt numFmtId="227" formatCode="0_ ;\-0\ "/>
    <numFmt numFmtId="231" formatCode="0.0000"/>
  </numFmts>
  <fonts count="44">
    <font>
      <sz val="10"/>
      <name val="Arial"/>
    </font>
    <font>
      <sz val="10"/>
      <name val="Arial"/>
    </font>
    <font>
      <sz val="10"/>
      <name val="Arial"/>
      <family val="2"/>
    </font>
    <font>
      <b/>
      <i/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color indexed="56"/>
      <name val="Book Antiqua"/>
      <family val="1"/>
    </font>
    <font>
      <b/>
      <sz val="9"/>
      <name val="Arial"/>
      <family val="2"/>
    </font>
    <font>
      <b/>
      <sz val="14"/>
      <color indexed="9"/>
      <name val="Book Antiqua"/>
      <family val="1"/>
    </font>
    <font>
      <b/>
      <sz val="10"/>
      <name val="Arial"/>
      <family val="2"/>
    </font>
    <font>
      <sz val="9"/>
      <name val="Times New Roman"/>
      <family val="1"/>
    </font>
    <font>
      <sz val="12"/>
      <name val="Arial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sz val="8"/>
      <name val="Arial"/>
      <family val="2"/>
    </font>
    <font>
      <b/>
      <i/>
      <sz val="16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2"/>
      <name val="¹ÙÅÁÃ¼"/>
      <family val="1"/>
      <charset val="129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6"/>
      <color indexed="12"/>
      <name val="Arial"/>
      <family val="2"/>
    </font>
    <font>
      <b/>
      <sz val="12"/>
      <color indexed="12"/>
      <name val="Arial"/>
      <family val="2"/>
    </font>
    <font>
      <b/>
      <sz val="10"/>
      <color indexed="12"/>
      <name val="Arial"/>
      <family val="2"/>
    </font>
    <font>
      <sz val="10"/>
      <color indexed="9"/>
      <name val="Arial"/>
      <family val="2"/>
    </font>
    <font>
      <b/>
      <sz val="11"/>
      <color indexed="12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b/>
      <sz val="15"/>
      <color theme="3"/>
      <name val="Calibri"/>
      <family val="2"/>
      <scheme val="minor"/>
    </font>
    <font>
      <b/>
      <sz val="14"/>
      <color theme="0"/>
      <name val="Arial"/>
      <family val="2"/>
    </font>
    <font>
      <sz val="14"/>
      <color theme="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41"/>
        <bgColor indexed="64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</borders>
  <cellStyleXfs count="95">
    <xf numFmtId="0" fontId="0" fillId="0" borderId="0"/>
    <xf numFmtId="0" fontId="16" fillId="2" borderId="0" applyNumberFormat="0" applyBorder="0" applyAlignment="0" applyProtection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5" borderId="0" applyNumberFormat="0" applyBorder="0" applyAlignment="0" applyProtection="0"/>
    <xf numFmtId="0" fontId="16" fillId="8" borderId="0" applyNumberFormat="0" applyBorder="0" applyAlignment="0" applyProtection="0"/>
    <xf numFmtId="0" fontId="16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8" fillId="4" borderId="0" applyNumberFormat="0" applyBorder="0" applyAlignment="0" applyProtection="0"/>
    <xf numFmtId="0" fontId="1" fillId="0" borderId="0" applyFill="0" applyBorder="0" applyAlignment="0"/>
    <xf numFmtId="204" fontId="1" fillId="0" borderId="0" applyFill="0" applyBorder="0" applyAlignment="0"/>
    <xf numFmtId="201" fontId="10" fillId="0" borderId="0" applyFill="0" applyBorder="0" applyAlignment="0"/>
    <xf numFmtId="205" fontId="11" fillId="0" borderId="0" applyFill="0" applyBorder="0" applyAlignment="0"/>
    <xf numFmtId="206" fontId="1" fillId="0" borderId="0" applyFill="0" applyBorder="0" applyAlignment="0"/>
    <xf numFmtId="0" fontId="1" fillId="0" borderId="0" applyFill="0" applyBorder="0" applyAlignment="0"/>
    <xf numFmtId="207" fontId="1" fillId="0" borderId="0" applyFill="0" applyBorder="0" applyAlignment="0"/>
    <xf numFmtId="204" fontId="1" fillId="0" borderId="0" applyFill="0" applyBorder="0" applyAlignment="0"/>
    <xf numFmtId="202" fontId="4" fillId="17" borderId="0"/>
    <xf numFmtId="0" fontId="19" fillId="16" borderId="1" applyNumberFormat="0" applyAlignment="0" applyProtection="0"/>
    <xf numFmtId="0" fontId="20" fillId="18" borderId="2" applyNumberFormat="0" applyAlignment="0" applyProtection="0"/>
    <xf numFmtId="0" fontId="21" fillId="0" borderId="3" applyNumberFormat="0" applyFill="0" applyAlignment="0" applyProtection="0"/>
    <xf numFmtId="0" fontId="22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204" fontId="1" fillId="0" borderId="0" applyFont="0" applyFill="0" applyBorder="0" applyAlignment="0" applyProtection="0"/>
    <xf numFmtId="0" fontId="22" fillId="0" borderId="0" applyFont="0" applyFill="0" applyBorder="0" applyAlignment="0" applyProtection="0"/>
    <xf numFmtId="14" fontId="12" fillId="0" borderId="0" applyFill="0" applyBorder="0" applyAlignment="0"/>
    <xf numFmtId="38" fontId="13" fillId="0" borderId="4">
      <alignment vertical="center"/>
    </xf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22" borderId="0" applyNumberFormat="0" applyBorder="0" applyAlignment="0" applyProtection="0"/>
    <xf numFmtId="0" fontId="1" fillId="0" borderId="0" applyFill="0" applyBorder="0" applyAlignment="0"/>
    <xf numFmtId="204" fontId="1" fillId="0" borderId="0" applyFill="0" applyBorder="0" applyAlignment="0"/>
    <xf numFmtId="0" fontId="1" fillId="0" borderId="0" applyFill="0" applyBorder="0" applyAlignment="0"/>
    <xf numFmtId="207" fontId="1" fillId="0" borderId="0" applyFill="0" applyBorder="0" applyAlignment="0"/>
    <xf numFmtId="204" fontId="1" fillId="0" borderId="0" applyFill="0" applyBorder="0" applyAlignment="0"/>
    <xf numFmtId="0" fontId="23" fillId="7" borderId="1" applyNumberFormat="0" applyAlignment="0" applyProtection="0"/>
    <xf numFmtId="176" fontId="1" fillId="0" borderId="0" applyFont="0" applyFill="0" applyBorder="0" applyAlignment="0" applyProtection="0"/>
    <xf numFmtId="38" fontId="14" fillId="23" borderId="0" applyNumberFormat="0" applyBorder="0" applyAlignment="0" applyProtection="0"/>
    <xf numFmtId="0" fontId="5" fillId="0" borderId="5" applyNumberFormat="0" applyAlignment="0" applyProtection="0">
      <alignment horizontal="left" vertical="center"/>
    </xf>
    <xf numFmtId="0" fontId="5" fillId="0" borderId="6">
      <alignment horizontal="left" vertical="center"/>
    </xf>
    <xf numFmtId="0" fontId="24" fillId="3" borderId="0" applyNumberFormat="0" applyBorder="0" applyAlignment="0" applyProtection="0"/>
    <xf numFmtId="185" fontId="4" fillId="24" borderId="0"/>
    <xf numFmtId="10" fontId="14" fillId="25" borderId="7" applyNumberFormat="0" applyBorder="0" applyAlignment="0" applyProtection="0"/>
    <xf numFmtId="0" fontId="6" fillId="0" borderId="0"/>
    <xf numFmtId="0" fontId="1" fillId="0" borderId="0" applyFill="0" applyBorder="0" applyAlignment="0"/>
    <xf numFmtId="204" fontId="1" fillId="0" borderId="0" applyFill="0" applyBorder="0" applyAlignment="0"/>
    <xf numFmtId="0" fontId="1" fillId="0" borderId="0" applyFill="0" applyBorder="0" applyAlignment="0"/>
    <xf numFmtId="207" fontId="1" fillId="0" borderId="0" applyFill="0" applyBorder="0" applyAlignment="0"/>
    <xf numFmtId="204" fontId="1" fillId="0" borderId="0" applyFill="0" applyBorder="0" applyAlignment="0"/>
    <xf numFmtId="193" fontId="1" fillId="0" borderId="0" applyFont="0" applyFill="0" applyBorder="0" applyAlignment="0" applyProtection="0"/>
    <xf numFmtId="0" fontId="25" fillId="26" borderId="0" applyNumberFormat="0" applyBorder="0" applyAlignment="0" applyProtection="0"/>
    <xf numFmtId="208" fontId="15" fillId="0" borderId="0"/>
    <xf numFmtId="206" fontId="1" fillId="0" borderId="0" applyFont="0" applyFill="0" applyBorder="0" applyAlignment="0" applyProtection="0"/>
    <xf numFmtId="208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 applyFill="0" applyBorder="0" applyAlignment="0"/>
    <xf numFmtId="204" fontId="1" fillId="0" borderId="0" applyFill="0" applyBorder="0" applyAlignment="0"/>
    <xf numFmtId="0" fontId="1" fillId="0" borderId="0" applyFill="0" applyBorder="0" applyAlignment="0"/>
    <xf numFmtId="207" fontId="1" fillId="0" borderId="0" applyFill="0" applyBorder="0" applyAlignment="0"/>
    <xf numFmtId="204" fontId="1" fillId="0" borderId="0" applyFill="0" applyBorder="0" applyAlignment="0"/>
    <xf numFmtId="0" fontId="7" fillId="27" borderId="6" applyBorder="0"/>
    <xf numFmtId="0" fontId="26" fillId="16" borderId="8" applyNumberFormat="0" applyAlignment="0" applyProtection="0"/>
    <xf numFmtId="0" fontId="8" fillId="28" borderId="0"/>
    <xf numFmtId="185" fontId="1" fillId="0" borderId="0" applyFont="0" applyFill="0" applyBorder="0" applyAlignment="0" applyProtection="0"/>
    <xf numFmtId="0" fontId="1" fillId="27" borderId="0">
      <alignment horizontal="center" vertical="center" wrapText="1"/>
    </xf>
    <xf numFmtId="0" fontId="3" fillId="0" borderId="0"/>
    <xf numFmtId="49" fontId="12" fillId="0" borderId="0" applyFill="0" applyBorder="0" applyAlignment="0"/>
    <xf numFmtId="209" fontId="1" fillId="0" borderId="0" applyFill="0" applyBorder="0" applyAlignment="0"/>
    <xf numFmtId="210" fontId="1" fillId="0" borderId="0" applyFill="0" applyBorder="0" applyAlignment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9" applyNumberFormat="0" applyFill="0" applyAlignment="0" applyProtection="0"/>
    <xf numFmtId="0" fontId="31" fillId="0" borderId="10" applyNumberFormat="0" applyFill="0" applyAlignment="0" applyProtection="0"/>
    <xf numFmtId="0" fontId="32" fillId="0" borderId="11" applyNumberFormat="0" applyFill="0" applyAlignment="0" applyProtection="0"/>
    <xf numFmtId="0" fontId="32" fillId="0" borderId="0" applyNumberFormat="0" applyFill="0" applyBorder="0" applyAlignment="0" applyProtection="0"/>
    <xf numFmtId="0" fontId="33" fillId="0" borderId="12" applyNumberFormat="0" applyFill="0" applyAlignment="0" applyProtection="0"/>
    <xf numFmtId="0" fontId="41" fillId="0" borderId="39" applyNumberFormat="0" applyFill="0" applyAlignment="0" applyProtection="0"/>
  </cellStyleXfs>
  <cellXfs count="106">
    <xf numFmtId="0" fontId="0" fillId="0" borderId="0" xfId="0"/>
    <xf numFmtId="0" fontId="2" fillId="27" borderId="0" xfId="0" applyFont="1" applyFill="1" applyBorder="1" applyAlignment="1">
      <alignment horizontal="center"/>
    </xf>
    <xf numFmtId="0" fontId="2" fillId="27" borderId="0" xfId="0" applyFont="1" applyFill="1" applyBorder="1"/>
    <xf numFmtId="0" fontId="3" fillId="27" borderId="0" xfId="0" applyFont="1" applyFill="1" applyBorder="1" applyAlignment="1">
      <alignment horizontal="center"/>
    </xf>
    <xf numFmtId="0" fontId="34" fillId="23" borderId="0" xfId="0" applyFont="1" applyFill="1" applyProtection="1">
      <protection locked="0"/>
    </xf>
    <xf numFmtId="0" fontId="34" fillId="0" borderId="0" xfId="0" applyFont="1" applyFill="1"/>
    <xf numFmtId="0" fontId="0" fillId="0" borderId="0" xfId="0" applyProtection="1">
      <protection locked="0"/>
    </xf>
    <xf numFmtId="0" fontId="35" fillId="23" borderId="13" xfId="0" applyFont="1" applyFill="1" applyBorder="1" applyProtection="1"/>
    <xf numFmtId="0" fontId="35" fillId="23" borderId="14" xfId="0" applyFont="1" applyFill="1" applyBorder="1" applyProtection="1"/>
    <xf numFmtId="0" fontId="35" fillId="23" borderId="15" xfId="0" applyFont="1" applyFill="1" applyBorder="1" applyProtection="1"/>
    <xf numFmtId="0" fontId="36" fillId="23" borderId="13" xfId="0" applyFont="1" applyFill="1" applyBorder="1" applyProtection="1"/>
    <xf numFmtId="0" fontId="36" fillId="23" borderId="14" xfId="0" applyFont="1" applyFill="1" applyBorder="1" applyProtection="1"/>
    <xf numFmtId="0" fontId="36" fillId="23" borderId="15" xfId="0" applyFont="1" applyFill="1" applyBorder="1" applyProtection="1"/>
    <xf numFmtId="0" fontId="36" fillId="23" borderId="16" xfId="0" applyFont="1" applyFill="1" applyBorder="1" applyProtection="1"/>
    <xf numFmtId="0" fontId="36" fillId="23" borderId="17" xfId="0" applyFont="1" applyFill="1" applyBorder="1" applyProtection="1"/>
    <xf numFmtId="0" fontId="36" fillId="23" borderId="18" xfId="0" applyFont="1" applyFill="1" applyBorder="1" applyProtection="1"/>
    <xf numFmtId="0" fontId="36" fillId="23" borderId="19" xfId="0" applyFont="1" applyFill="1" applyBorder="1" applyProtection="1"/>
    <xf numFmtId="14" fontId="36" fillId="23" borderId="0" xfId="0" applyNumberFormat="1" applyFont="1" applyFill="1" applyBorder="1" applyProtection="1"/>
    <xf numFmtId="0" fontId="36" fillId="23" borderId="0" xfId="0" applyFont="1" applyFill="1" applyBorder="1" applyProtection="1"/>
    <xf numFmtId="0" fontId="36" fillId="23" borderId="20" xfId="0" applyFont="1" applyFill="1" applyBorder="1" applyProtection="1"/>
    <xf numFmtId="211" fontId="36" fillId="23" borderId="17" xfId="0" applyNumberFormat="1" applyFont="1" applyFill="1" applyBorder="1" applyProtection="1"/>
    <xf numFmtId="0" fontId="37" fillId="0" borderId="0" xfId="0" applyFont="1" applyProtection="1">
      <protection locked="0"/>
    </xf>
    <xf numFmtId="0" fontId="5" fillId="23" borderId="21" xfId="0" applyFont="1" applyFill="1" applyBorder="1" applyProtection="1">
      <protection locked="0"/>
    </xf>
    <xf numFmtId="0" fontId="5" fillId="23" borderId="5" xfId="0" applyFont="1" applyFill="1" applyBorder="1" applyProtection="1">
      <protection locked="0"/>
    </xf>
    <xf numFmtId="0" fontId="5" fillId="23" borderId="22" xfId="0" applyFont="1" applyFill="1" applyBorder="1" applyProtection="1">
      <protection locked="0"/>
    </xf>
    <xf numFmtId="0" fontId="0" fillId="23" borderId="13" xfId="0" applyFill="1" applyBorder="1" applyProtection="1">
      <protection locked="0"/>
    </xf>
    <xf numFmtId="0" fontId="0" fillId="23" borderId="14" xfId="0" applyFill="1" applyBorder="1" applyProtection="1">
      <protection locked="0"/>
    </xf>
    <xf numFmtId="0" fontId="0" fillId="23" borderId="15" xfId="0" applyFill="1" applyBorder="1" applyProtection="1">
      <protection locked="0"/>
    </xf>
    <xf numFmtId="0" fontId="0" fillId="23" borderId="19" xfId="0" applyFill="1" applyBorder="1" applyProtection="1">
      <protection locked="0"/>
    </xf>
    <xf numFmtId="0" fontId="0" fillId="23" borderId="0" xfId="0" applyFill="1" applyBorder="1" applyProtection="1">
      <protection locked="0"/>
    </xf>
    <xf numFmtId="0" fontId="0" fillId="23" borderId="20" xfId="0" applyFill="1" applyBorder="1" applyProtection="1">
      <protection locked="0"/>
    </xf>
    <xf numFmtId="0" fontId="9" fillId="23" borderId="19" xfId="0" applyFont="1" applyFill="1" applyBorder="1" applyProtection="1">
      <protection locked="0"/>
    </xf>
    <xf numFmtId="0" fontId="9" fillId="23" borderId="0" xfId="0" applyFont="1" applyFill="1" applyBorder="1" applyProtection="1">
      <protection locked="0"/>
    </xf>
    <xf numFmtId="0" fontId="9" fillId="23" borderId="20" xfId="0" applyFont="1" applyFill="1" applyBorder="1" applyProtection="1">
      <protection locked="0"/>
    </xf>
    <xf numFmtId="0" fontId="9" fillId="23" borderId="16" xfId="0" applyFont="1" applyFill="1" applyBorder="1" applyProtection="1">
      <protection locked="0"/>
    </xf>
    <xf numFmtId="0" fontId="9" fillId="23" borderId="17" xfId="0" applyFont="1" applyFill="1" applyBorder="1" applyProtection="1">
      <protection locked="0"/>
    </xf>
    <xf numFmtId="0" fontId="9" fillId="23" borderId="18" xfId="0" applyFont="1" applyFill="1" applyBorder="1" applyProtection="1">
      <protection locked="0"/>
    </xf>
    <xf numFmtId="0" fontId="0" fillId="0" borderId="0" xfId="0" applyFill="1"/>
    <xf numFmtId="0" fontId="3" fillId="27" borderId="0" xfId="0" applyFont="1" applyFill="1" applyBorder="1" applyAlignment="1">
      <alignment horizontal="center" vertical="center"/>
    </xf>
    <xf numFmtId="193" fontId="9" fillId="23" borderId="23" xfId="65" applyFont="1" applyFill="1" applyBorder="1"/>
    <xf numFmtId="193" fontId="9" fillId="23" borderId="24" xfId="65" applyFont="1" applyFill="1" applyBorder="1"/>
    <xf numFmtId="193" fontId="9" fillId="23" borderId="25" xfId="65" applyFont="1" applyFill="1" applyBorder="1"/>
    <xf numFmtId="1" fontId="0" fillId="0" borderId="0" xfId="0" applyNumberFormat="1"/>
    <xf numFmtId="0" fontId="36" fillId="23" borderId="26" xfId="0" applyFont="1" applyFill="1" applyBorder="1" applyAlignment="1">
      <alignment vertical="center" wrapText="1"/>
    </xf>
    <xf numFmtId="0" fontId="36" fillId="23" borderId="13" xfId="0" applyFont="1" applyFill="1" applyBorder="1" applyAlignment="1">
      <alignment vertical="center" wrapText="1"/>
    </xf>
    <xf numFmtId="0" fontId="42" fillId="29" borderId="27" xfId="0" applyFont="1" applyFill="1" applyBorder="1"/>
    <xf numFmtId="0" fontId="42" fillId="29" borderId="6" xfId="0" applyFont="1" applyFill="1" applyBorder="1"/>
    <xf numFmtId="0" fontId="43" fillId="29" borderId="6" xfId="0" applyFont="1" applyFill="1" applyBorder="1"/>
    <xf numFmtId="0" fontId="38" fillId="23" borderId="26" xfId="0" applyFont="1" applyFill="1" applyBorder="1" applyAlignment="1">
      <alignment horizontal="center" vertical="center"/>
    </xf>
    <xf numFmtId="0" fontId="39" fillId="27" borderId="0" xfId="0" applyFont="1" applyFill="1" applyBorder="1"/>
    <xf numFmtId="0" fontId="38" fillId="23" borderId="23" xfId="0" applyFont="1" applyFill="1" applyBorder="1" applyAlignment="1">
      <alignment horizontal="center" vertical="center"/>
    </xf>
    <xf numFmtId="0" fontId="38" fillId="23" borderId="26" xfId="0" applyFont="1" applyFill="1" applyBorder="1" applyAlignment="1">
      <alignment horizontal="center" vertical="center" wrapText="1"/>
    </xf>
    <xf numFmtId="227" fontId="9" fillId="23" borderId="23" xfId="65" applyNumberFormat="1" applyFont="1" applyFill="1" applyBorder="1"/>
    <xf numFmtId="227" fontId="9" fillId="23" borderId="24" xfId="65" applyNumberFormat="1" applyFont="1" applyFill="1" applyBorder="1"/>
    <xf numFmtId="227" fontId="9" fillId="23" borderId="25" xfId="65" applyNumberFormat="1" applyFont="1" applyFill="1" applyBorder="1"/>
    <xf numFmtId="10" fontId="2" fillId="27" borderId="28" xfId="71" applyNumberFormat="1" applyFont="1" applyFill="1" applyBorder="1" applyAlignment="1">
      <alignment horizontal="right"/>
    </xf>
    <xf numFmtId="10" fontId="2" fillId="27" borderId="29" xfId="71" applyNumberFormat="1" applyFont="1" applyFill="1" applyBorder="1" applyAlignment="1">
      <alignment horizontal="right"/>
    </xf>
    <xf numFmtId="10" fontId="2" fillId="27" borderId="30" xfId="71" applyNumberFormat="1" applyFont="1" applyFill="1" applyBorder="1" applyAlignment="1">
      <alignment horizontal="right"/>
    </xf>
    <xf numFmtId="0" fontId="39" fillId="30" borderId="0" xfId="0" applyFont="1" applyFill="1" applyBorder="1"/>
    <xf numFmtId="3" fontId="1" fillId="27" borderId="31" xfId="65" applyNumberFormat="1" applyFill="1" applyBorder="1" applyAlignment="1">
      <alignment horizontal="right"/>
    </xf>
    <xf numFmtId="3" fontId="2" fillId="27" borderId="32" xfId="0" applyNumberFormat="1" applyFont="1" applyFill="1" applyBorder="1" applyAlignment="1">
      <alignment horizontal="right"/>
    </xf>
    <xf numFmtId="3" fontId="2" fillId="27" borderId="33" xfId="0" applyNumberFormat="1" applyFont="1" applyFill="1" applyBorder="1"/>
    <xf numFmtId="3" fontId="1" fillId="27" borderId="34" xfId="65" applyNumberFormat="1" applyFill="1" applyBorder="1" applyAlignment="1">
      <alignment horizontal="right"/>
    </xf>
    <xf numFmtId="3" fontId="2" fillId="27" borderId="7" xfId="0" applyNumberFormat="1" applyFont="1" applyFill="1" applyBorder="1" applyAlignment="1">
      <alignment horizontal="right"/>
    </xf>
    <xf numFmtId="3" fontId="2" fillId="27" borderId="35" xfId="0" applyNumberFormat="1" applyFont="1" applyFill="1" applyBorder="1"/>
    <xf numFmtId="3" fontId="1" fillId="27" borderId="36" xfId="65" applyNumberFormat="1" applyFill="1" applyBorder="1" applyAlignment="1">
      <alignment horizontal="right"/>
    </xf>
    <xf numFmtId="3" fontId="2" fillId="27" borderId="37" xfId="0" applyNumberFormat="1" applyFont="1" applyFill="1" applyBorder="1" applyAlignment="1">
      <alignment horizontal="right"/>
    </xf>
    <xf numFmtId="3" fontId="2" fillId="27" borderId="38" xfId="0" applyNumberFormat="1" applyFont="1" applyFill="1" applyBorder="1"/>
    <xf numFmtId="191" fontId="2" fillId="27" borderId="26" xfId="65" applyNumberFormat="1" applyFont="1" applyFill="1" applyBorder="1" applyAlignment="1">
      <alignment horizontal="right"/>
    </xf>
    <xf numFmtId="3" fontId="2" fillId="27" borderId="28" xfId="71" applyNumberFormat="1" applyFont="1" applyFill="1" applyBorder="1" applyAlignment="1">
      <alignment horizontal="right"/>
    </xf>
    <xf numFmtId="3" fontId="2" fillId="27" borderId="29" xfId="71" applyNumberFormat="1" applyFont="1" applyFill="1" applyBorder="1" applyAlignment="1">
      <alignment horizontal="right"/>
    </xf>
    <xf numFmtId="3" fontId="2" fillId="27" borderId="30" xfId="71" applyNumberFormat="1" applyFont="1" applyFill="1" applyBorder="1" applyAlignment="1">
      <alignment horizontal="right"/>
    </xf>
    <xf numFmtId="231" fontId="0" fillId="0" borderId="0" xfId="0" applyNumberFormat="1"/>
    <xf numFmtId="191" fontId="0" fillId="0" borderId="0" xfId="0" applyNumberFormat="1"/>
    <xf numFmtId="214" fontId="2" fillId="0" borderId="24" xfId="65" applyNumberFormat="1" applyFont="1" applyFill="1" applyBorder="1" applyAlignment="1">
      <alignment horizontal="right"/>
    </xf>
    <xf numFmtId="214" fontId="2" fillId="0" borderId="24" xfId="65" applyNumberFormat="1" applyFont="1" applyFill="1" applyBorder="1" applyAlignment="1">
      <alignment horizontal="center"/>
    </xf>
    <xf numFmtId="214" fontId="2" fillId="0" borderId="25" xfId="65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227" fontId="9" fillId="23" borderId="13" xfId="65" applyNumberFormat="1" applyFont="1" applyFill="1" applyBorder="1"/>
    <xf numFmtId="227" fontId="9" fillId="23" borderId="19" xfId="65" applyNumberFormat="1" applyFont="1" applyFill="1" applyBorder="1"/>
    <xf numFmtId="191" fontId="2" fillId="27" borderId="23" xfId="65" applyNumberFormat="1" applyFont="1" applyFill="1" applyBorder="1" applyAlignment="1">
      <alignment horizontal="right"/>
    </xf>
    <xf numFmtId="191" fontId="2" fillId="27" borderId="24" xfId="65" applyNumberFormat="1" applyFont="1" applyFill="1" applyBorder="1" applyAlignment="1">
      <alignment horizontal="right"/>
    </xf>
    <xf numFmtId="191" fontId="2" fillId="27" borderId="25" xfId="65" applyNumberFormat="1" applyFont="1" applyFill="1" applyBorder="1" applyAlignment="1">
      <alignment horizontal="right"/>
    </xf>
    <xf numFmtId="227" fontId="9" fillId="23" borderId="16" xfId="65" applyNumberFormat="1" applyFont="1" applyFill="1" applyBorder="1"/>
    <xf numFmtId="0" fontId="38" fillId="23" borderId="23" xfId="0" applyFont="1" applyFill="1" applyBorder="1" applyAlignment="1">
      <alignment horizontal="center" vertical="center" wrapText="1"/>
    </xf>
    <xf numFmtId="10" fontId="2" fillId="27" borderId="23" xfId="71" applyNumberFormat="1" applyFont="1" applyFill="1" applyBorder="1" applyAlignment="1">
      <alignment horizontal="right"/>
    </xf>
    <xf numFmtId="10" fontId="2" fillId="27" borderId="24" xfId="71" applyNumberFormat="1" applyFont="1" applyFill="1" applyBorder="1" applyAlignment="1">
      <alignment horizontal="right"/>
    </xf>
    <xf numFmtId="10" fontId="2" fillId="27" borderId="25" xfId="71" applyNumberFormat="1" applyFont="1" applyFill="1" applyBorder="1" applyAlignment="1">
      <alignment horizontal="right"/>
    </xf>
    <xf numFmtId="3" fontId="2" fillId="27" borderId="0" xfId="0" applyNumberFormat="1" applyFont="1" applyFill="1" applyBorder="1" applyAlignment="1">
      <alignment horizontal="right"/>
    </xf>
    <xf numFmtId="212" fontId="2" fillId="27" borderId="0" xfId="0" applyNumberFormat="1" applyFont="1" applyFill="1" applyBorder="1" applyAlignment="1">
      <alignment horizontal="right"/>
    </xf>
    <xf numFmtId="0" fontId="9" fillId="23" borderId="13" xfId="0" applyFont="1" applyFill="1" applyBorder="1" applyAlignment="1">
      <alignment vertical="center"/>
    </xf>
    <xf numFmtId="214" fontId="2" fillId="0" borderId="23" xfId="65" applyNumberFormat="1" applyFont="1" applyFill="1" applyBorder="1" applyAlignment="1">
      <alignment vertical="center"/>
    </xf>
    <xf numFmtId="0" fontId="3" fillId="27" borderId="0" xfId="0" applyFont="1" applyFill="1" applyBorder="1" applyAlignment="1"/>
    <xf numFmtId="193" fontId="2" fillId="27" borderId="0" xfId="0" applyNumberFormat="1" applyFont="1" applyFill="1" applyBorder="1" applyAlignment="1"/>
    <xf numFmtId="0" fontId="9" fillId="23" borderId="19" xfId="0" applyFont="1" applyFill="1" applyBorder="1" applyAlignment="1">
      <alignment vertical="center"/>
    </xf>
    <xf numFmtId="0" fontId="2" fillId="27" borderId="0" xfId="0" applyFont="1" applyFill="1" applyBorder="1" applyAlignment="1"/>
    <xf numFmtId="0" fontId="40" fillId="27" borderId="0" xfId="0" applyFont="1" applyFill="1" applyBorder="1" applyAlignment="1"/>
    <xf numFmtId="0" fontId="9" fillId="23" borderId="16" xfId="0" applyFont="1" applyFill="1" applyBorder="1" applyAlignment="1">
      <alignment vertical="center"/>
    </xf>
    <xf numFmtId="3" fontId="1" fillId="27" borderId="0" xfId="65" applyNumberFormat="1" applyFill="1" applyBorder="1" applyAlignment="1">
      <alignment horizontal="right"/>
    </xf>
    <xf numFmtId="0" fontId="2" fillId="0" borderId="0" xfId="0" applyFont="1"/>
    <xf numFmtId="0" fontId="38" fillId="23" borderId="16" xfId="0" applyNumberFormat="1" applyFont="1" applyFill="1" applyBorder="1" applyAlignment="1">
      <alignment horizontal="center" vertical="center" wrapText="1"/>
    </xf>
    <xf numFmtId="0" fontId="38" fillId="23" borderId="17" xfId="0" applyNumberFormat="1" applyFont="1" applyFill="1" applyBorder="1" applyAlignment="1">
      <alignment horizontal="center" vertical="center" wrapText="1"/>
    </xf>
    <xf numFmtId="0" fontId="38" fillId="23" borderId="18" xfId="0" applyNumberFormat="1" applyFont="1" applyFill="1" applyBorder="1" applyAlignment="1">
      <alignment horizontal="center" vertical="center" wrapText="1"/>
    </xf>
    <xf numFmtId="0" fontId="38" fillId="30" borderId="21" xfId="0" applyNumberFormat="1" applyFont="1" applyFill="1" applyBorder="1" applyAlignment="1">
      <alignment horizontal="center" vertical="center" wrapText="1"/>
    </xf>
    <xf numFmtId="0" fontId="38" fillId="30" borderId="5" xfId="0" applyNumberFormat="1" applyFont="1" applyFill="1" applyBorder="1" applyAlignment="1">
      <alignment horizontal="center" vertical="center" wrapText="1"/>
    </xf>
    <xf numFmtId="0" fontId="38" fillId="30" borderId="22" xfId="0" applyNumberFormat="1" applyFont="1" applyFill="1" applyBorder="1" applyAlignment="1">
      <alignment horizontal="center" vertical="center" wrapText="1"/>
    </xf>
  </cellXfs>
  <cellStyles count="95">
    <cellStyle name="20% - Ênfase1" xfId="1"/>
    <cellStyle name="20% - Ênfase2" xfId="2"/>
    <cellStyle name="20% - Ênfase3" xfId="3"/>
    <cellStyle name="20% - Ênfase4" xfId="4"/>
    <cellStyle name="20% - Ênfase5" xfId="5"/>
    <cellStyle name="20% - Ênfase6" xfId="6"/>
    <cellStyle name="40% - Ênfase1" xfId="7"/>
    <cellStyle name="40% - Ênfase2" xfId="8"/>
    <cellStyle name="40% - Ênfase3" xfId="9"/>
    <cellStyle name="40% - Ênfase4" xfId="10"/>
    <cellStyle name="40% - Ênfase5" xfId="11"/>
    <cellStyle name="40% - Ênfase6" xfId="12"/>
    <cellStyle name="60% - Ênfase1" xfId="13"/>
    <cellStyle name="60% - Ênfase2" xfId="14"/>
    <cellStyle name="60% - Ênfase3" xfId="15"/>
    <cellStyle name="60% - Ênfase4" xfId="16"/>
    <cellStyle name="60% - Ênfase5" xfId="17"/>
    <cellStyle name="60% - Ênfase6" xfId="18"/>
    <cellStyle name="Bom" xfId="19"/>
    <cellStyle name="Calc Currency (0)" xfId="20"/>
    <cellStyle name="Calc Currency (2)" xfId="21"/>
    <cellStyle name="Calc Percent (0)" xfId="22"/>
    <cellStyle name="Calc Percent (1)" xfId="23"/>
    <cellStyle name="Calc Percent (2)" xfId="24"/>
    <cellStyle name="Calc Units (0)" xfId="25"/>
    <cellStyle name="Calc Units (1)" xfId="26"/>
    <cellStyle name="Calc Units (2)" xfId="27"/>
    <cellStyle name="Calculation" xfId="28"/>
    <cellStyle name="Cálculo" xfId="29"/>
    <cellStyle name="Célula de Verificação" xfId="30"/>
    <cellStyle name="Célula Vinculada" xfId="31"/>
    <cellStyle name="Comma [0]_1¿ùÈ¸ºñ³»¿ª (2)" xfId="32"/>
    <cellStyle name="Comma [00]" xfId="33"/>
    <cellStyle name="Comma_1¿ùÈ¸ºñ³»¿ª (2)" xfId="34"/>
    <cellStyle name="Currency [0]_1¿ùÈ¸ºñ³»¿ª (2)" xfId="35"/>
    <cellStyle name="Currency [00]" xfId="36"/>
    <cellStyle name="Currency_1¿ùÈ¸ºñ³»¿ª (2)" xfId="37"/>
    <cellStyle name="Date Short" xfId="38"/>
    <cellStyle name="DELTA" xfId="39"/>
    <cellStyle name="Encabezado 1" xfId="94" builtinId="16" hidden="1"/>
    <cellStyle name="Ênfase1" xfId="40"/>
    <cellStyle name="Ênfase2" xfId="41"/>
    <cellStyle name="Ênfase3" xfId="42"/>
    <cellStyle name="Ênfase4" xfId="43"/>
    <cellStyle name="Ênfase5" xfId="44"/>
    <cellStyle name="Ênfase6" xfId="45"/>
    <cellStyle name="Enter Currency (0)" xfId="46"/>
    <cellStyle name="Enter Currency (2)" xfId="47"/>
    <cellStyle name="Enter Units (0)" xfId="48"/>
    <cellStyle name="Enter Units (1)" xfId="49"/>
    <cellStyle name="Enter Units (2)" xfId="50"/>
    <cellStyle name="Entrada" xfId="51"/>
    <cellStyle name="Euro" xfId="52"/>
    <cellStyle name="Grey" xfId="53"/>
    <cellStyle name="Header1" xfId="54"/>
    <cellStyle name="Header2" xfId="55"/>
    <cellStyle name="Incorreto" xfId="56"/>
    <cellStyle name="Input" xfId="57"/>
    <cellStyle name="Input [yellow]" xfId="58"/>
    <cellStyle name="Label" xfId="59"/>
    <cellStyle name="Link Currency (0)" xfId="60"/>
    <cellStyle name="Link Currency (2)" xfId="61"/>
    <cellStyle name="Link Units (0)" xfId="62"/>
    <cellStyle name="Link Units (1)" xfId="63"/>
    <cellStyle name="Link Units (2)" xfId="64"/>
    <cellStyle name="Millares" xfId="65" builtinId="3"/>
    <cellStyle name="Neutra" xfId="66"/>
    <cellStyle name="Normal" xfId="0" builtinId="0"/>
    <cellStyle name="Normal - Style1" xfId="67"/>
    <cellStyle name="Percent [0]" xfId="68"/>
    <cellStyle name="Percent [00]" xfId="69"/>
    <cellStyle name="Percent [2]" xfId="70"/>
    <cellStyle name="Porcentaje" xfId="71" builtinId="5"/>
    <cellStyle name="PrePop Currency (0)" xfId="72"/>
    <cellStyle name="PrePop Currency (2)" xfId="73"/>
    <cellStyle name="PrePop Units (0)" xfId="74"/>
    <cellStyle name="PrePop Units (1)" xfId="75"/>
    <cellStyle name="PrePop Units (2)" xfId="76"/>
    <cellStyle name="Reference" xfId="77"/>
    <cellStyle name="Saída" xfId="78"/>
    <cellStyle name="Section Title no wrap" xfId="79"/>
    <cellStyle name="Separador de milhares_Plan1" xfId="80"/>
    <cellStyle name="Separation" xfId="81"/>
    <cellStyle name="Sub-section heading" xfId="82"/>
    <cellStyle name="Text Indent A" xfId="83"/>
    <cellStyle name="Text Indent B" xfId="84"/>
    <cellStyle name="Text Indent C" xfId="85"/>
    <cellStyle name="Texto de Aviso" xfId="86"/>
    <cellStyle name="Texto Explicativo" xfId="87"/>
    <cellStyle name="Título" xfId="88"/>
    <cellStyle name="Título 1" xfId="89"/>
    <cellStyle name="Título 2" xfId="90"/>
    <cellStyle name="Título 3" xfId="91"/>
    <cellStyle name="Título 4" xfId="92"/>
    <cellStyle name="Total" xfId="9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28575</xdr:rowOff>
        </xdr:from>
        <xdr:to>
          <xdr:col>2</xdr:col>
          <xdr:colOff>180975</xdr:colOff>
          <xdr:row>16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BDE6EAA7-EF4C-4BBF-B4C0-AABA352FA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15</xdr:row>
          <xdr:rowOff>47625</xdr:rowOff>
        </xdr:from>
        <xdr:to>
          <xdr:col>4</xdr:col>
          <xdr:colOff>38100</xdr:colOff>
          <xdr:row>16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A1DC7F67-E4CB-48ED-ACF7-A0F44B6D47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Pages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Novix/Proyectos/GGCL/MOT%20GGCL%20BP%2009/Index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Front_page "/>
      <sheetName val="Across Models Indexes"/>
      <sheetName val="Acr_mod_index"/>
      <sheetName val="Financial Indexes"/>
      <sheetName val="Fin_indexes"/>
      <sheetName val="Alternative Fuel Indexes"/>
      <sheetName val="Alt_indexes"/>
      <sheetName val="Industrial Indexes"/>
      <sheetName val="Ind_Indexes"/>
      <sheetName val="Bulk Indexes"/>
      <sheetName val="Bul_Indexes"/>
      <sheetName val="GNC Indexes"/>
      <sheetName val="GNC_Indexes"/>
      <sheetName val="Capex Indexes"/>
      <sheetName val="Cap_Indexes"/>
      <sheetName val="Small Demand Indexes"/>
      <sheetName val="Sma_Indexes"/>
      <sheetName val="Supply Indexes"/>
      <sheetName val="Sup_Indexes"/>
      <sheetName val="Transmission Indexes"/>
      <sheetName val="Transm_indexes"/>
    </sheetNames>
    <sheetDataSet>
      <sheetData sheetId="0">
        <row r="3">
          <cell r="A3" t="str">
            <v>Sheets coloured in red are use for input data.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1">
    <tabColor indexed="10"/>
  </sheetPr>
  <dimension ref="A1:N30"/>
  <sheetViews>
    <sheetView showGridLines="0" tabSelected="1" zoomScaleNormal="100" workbookViewId="0">
      <selection activeCell="A14" sqref="A14"/>
    </sheetView>
  </sheetViews>
  <sheetFormatPr baseColWidth="10" defaultColWidth="11.42578125" defaultRowHeight="12.75"/>
  <cols>
    <col min="7" max="7" width="22" customWidth="1"/>
  </cols>
  <sheetData>
    <row r="1" spans="1:14" s="5" customFormat="1" ht="20.25">
      <c r="A1" s="4" t="s">
        <v>19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>
      <c r="A2" s="6" t="s">
        <v>18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>
      <c r="A3" s="6" t="s">
        <v>2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1:14">
      <c r="A4" s="6" t="s">
        <v>3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14" ht="13.5" thickBot="1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</row>
    <row r="6" spans="1:14" ht="16.5" thickBot="1">
      <c r="A6" s="7" t="s">
        <v>4</v>
      </c>
      <c r="B6" s="8"/>
      <c r="C6" s="8"/>
      <c r="D6" s="8"/>
      <c r="E6" s="8"/>
      <c r="F6" s="8"/>
      <c r="G6" s="9"/>
      <c r="H6" s="6"/>
      <c r="I6" s="6"/>
      <c r="J6" s="6"/>
      <c r="K6" s="6"/>
      <c r="L6" s="6"/>
      <c r="M6" s="6"/>
      <c r="N6" s="6"/>
    </row>
    <row r="7" spans="1:14">
      <c r="A7" s="10" t="s">
        <v>5</v>
      </c>
      <c r="B7" s="11">
        <v>244</v>
      </c>
      <c r="C7" s="11"/>
      <c r="D7" s="11"/>
      <c r="E7" s="11"/>
      <c r="F7" s="11"/>
      <c r="G7" s="12"/>
      <c r="H7" s="6"/>
      <c r="I7" s="6"/>
      <c r="J7" s="6"/>
      <c r="K7" s="6"/>
      <c r="L7" s="6"/>
      <c r="M7" s="6"/>
      <c r="N7" s="6"/>
    </row>
    <row r="8" spans="1:14" ht="13.5" thickBot="1">
      <c r="A8" s="13" t="s">
        <v>6</v>
      </c>
      <c r="B8" s="14">
        <v>4450</v>
      </c>
      <c r="C8" s="14"/>
      <c r="D8" s="14"/>
      <c r="E8" s="14"/>
      <c r="F8" s="14"/>
      <c r="G8" s="15"/>
      <c r="H8" s="6"/>
      <c r="I8" s="6"/>
      <c r="J8" s="6"/>
      <c r="K8" s="6"/>
      <c r="L8" s="6"/>
      <c r="M8" s="6"/>
      <c r="N8" s="6"/>
    </row>
    <row r="9" spans="1:14">
      <c r="A9" s="10" t="s">
        <v>7</v>
      </c>
      <c r="B9" s="11" t="s">
        <v>89</v>
      </c>
      <c r="C9" s="11"/>
      <c r="D9" s="11"/>
      <c r="E9" s="11"/>
      <c r="F9" s="11"/>
      <c r="G9" s="12"/>
      <c r="H9" s="6"/>
      <c r="I9" s="6"/>
      <c r="J9" s="6"/>
      <c r="K9" s="6"/>
      <c r="L9" s="6"/>
      <c r="M9" s="6"/>
      <c r="N9" s="6"/>
    </row>
    <row r="10" spans="1:14">
      <c r="A10" s="16" t="s">
        <v>8</v>
      </c>
      <c r="B10" s="17">
        <v>43620</v>
      </c>
      <c r="C10" s="18"/>
      <c r="D10" s="18"/>
      <c r="E10" s="18"/>
      <c r="F10" s="18"/>
      <c r="G10" s="19"/>
      <c r="H10" s="6"/>
      <c r="I10" s="6"/>
      <c r="J10" s="6"/>
      <c r="K10" s="6"/>
      <c r="L10" s="6"/>
      <c r="M10" s="6"/>
      <c r="N10" s="6"/>
    </row>
    <row r="11" spans="1:14" ht="13.5" thickBot="1">
      <c r="A11" s="13" t="s">
        <v>9</v>
      </c>
      <c r="B11" s="20">
        <v>0.63077546296296294</v>
      </c>
      <c r="C11" s="14"/>
      <c r="D11" s="14"/>
      <c r="E11" s="14"/>
      <c r="F11" s="14"/>
      <c r="G11" s="15"/>
      <c r="H11" s="6"/>
      <c r="I11" s="6"/>
      <c r="J11" s="6" t="s">
        <v>10</v>
      </c>
      <c r="K11" s="6"/>
      <c r="L11" s="6"/>
      <c r="M11" s="6"/>
      <c r="N11" s="6"/>
    </row>
    <row r="12" spans="1:14">
      <c r="A12" s="10" t="s">
        <v>11</v>
      </c>
      <c r="B12" s="11" t="s">
        <v>79</v>
      </c>
      <c r="C12" s="11"/>
      <c r="D12" s="11"/>
      <c r="E12" s="11"/>
      <c r="F12" s="11"/>
      <c r="G12" s="12"/>
      <c r="H12" s="6"/>
      <c r="I12" s="6"/>
      <c r="J12" s="6"/>
      <c r="K12" s="6"/>
      <c r="L12" s="6"/>
      <c r="M12" s="6"/>
      <c r="N12" s="6"/>
    </row>
    <row r="13" spans="1:14">
      <c r="A13" s="16" t="s">
        <v>12</v>
      </c>
      <c r="B13" s="18" t="s">
        <v>90</v>
      </c>
      <c r="C13" s="18"/>
      <c r="D13" s="18"/>
      <c r="E13" s="18"/>
      <c r="F13" s="18"/>
      <c r="G13" s="19"/>
      <c r="H13" s="6"/>
      <c r="I13" s="6"/>
      <c r="J13" s="6"/>
      <c r="K13" s="6"/>
      <c r="L13" s="6"/>
      <c r="M13" s="6"/>
      <c r="N13" s="6"/>
    </row>
    <row r="14" spans="1:14" ht="13.5" thickBot="1">
      <c r="A14" s="13" t="s">
        <v>13</v>
      </c>
      <c r="B14" s="14" t="s">
        <v>78</v>
      </c>
      <c r="C14" s="14"/>
      <c r="D14" s="14"/>
      <c r="E14" s="14"/>
      <c r="F14" s="14"/>
      <c r="G14" s="15"/>
      <c r="H14" s="6"/>
      <c r="I14" s="6"/>
      <c r="J14" s="6"/>
      <c r="K14" s="6"/>
      <c r="L14" s="6"/>
      <c r="M14" s="6"/>
      <c r="N14" s="6"/>
    </row>
    <row r="15" spans="1:14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</row>
    <row r="16" spans="1:14">
      <c r="A16" s="21" t="str">
        <f>'[1]Front Page'!$A$3</f>
        <v>Sheets coloured in red are use for input data.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</row>
    <row r="17" spans="1:14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</row>
    <row r="18" spans="1:14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</row>
    <row r="19" spans="1:14" ht="13.5" thickBo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1:14" ht="16.5" thickBot="1">
      <c r="A20" s="22" t="s">
        <v>14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4"/>
    </row>
    <row r="21" spans="1:14">
      <c r="A21" s="25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7"/>
    </row>
    <row r="22" spans="1:14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30"/>
    </row>
    <row r="23" spans="1:14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30"/>
    </row>
    <row r="24" spans="1:14">
      <c r="A24" s="28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30"/>
    </row>
    <row r="25" spans="1:14">
      <c r="A25" s="28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30"/>
    </row>
    <row r="26" spans="1:14">
      <c r="A26" s="31"/>
      <c r="B26" s="32"/>
      <c r="C26" s="32"/>
      <c r="D26" s="32"/>
      <c r="E26" s="32"/>
      <c r="F26" s="32"/>
      <c r="G26" s="32"/>
      <c r="H26" s="32"/>
      <c r="I26" s="32"/>
      <c r="J26" s="29"/>
      <c r="K26" s="32"/>
      <c r="L26" s="32"/>
      <c r="M26" s="32"/>
      <c r="N26" s="33"/>
    </row>
    <row r="27" spans="1:14">
      <c r="A27" s="31"/>
      <c r="B27" s="32"/>
      <c r="C27" s="32"/>
      <c r="D27" s="32"/>
      <c r="E27" s="32"/>
      <c r="F27" s="32"/>
      <c r="G27" s="32"/>
      <c r="H27" s="32"/>
      <c r="I27" s="32"/>
      <c r="J27" s="29"/>
      <c r="K27" s="32"/>
      <c r="L27" s="32"/>
      <c r="M27" s="32"/>
      <c r="N27" s="33"/>
    </row>
    <row r="28" spans="1:14">
      <c r="A28" s="31"/>
      <c r="B28" s="32"/>
      <c r="C28" s="32"/>
      <c r="D28" s="32"/>
      <c r="E28" s="32"/>
      <c r="F28" s="32"/>
      <c r="G28" s="32"/>
      <c r="H28" s="32"/>
      <c r="I28" s="32"/>
      <c r="J28" s="29"/>
      <c r="K28" s="32"/>
      <c r="L28" s="32"/>
      <c r="M28" s="32"/>
      <c r="N28" s="33"/>
    </row>
    <row r="29" spans="1:14">
      <c r="A29" s="31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3"/>
    </row>
    <row r="30" spans="1:14" ht="13.5" thickBot="1">
      <c r="A30" s="34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6"/>
    </row>
  </sheetData>
  <phoneticPr fontId="0" type="noConversion"/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Hide_pages">
                <anchor moveWithCells="1" sizeWithCells="1">
                  <from>
                    <xdr:col>1</xdr:col>
                    <xdr:colOff>0</xdr:colOff>
                    <xdr:row>15</xdr:row>
                    <xdr:rowOff>28575</xdr:rowOff>
                  </from>
                  <to>
                    <xdr:col>2</xdr:col>
                    <xdr:colOff>180975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how_pages">
                <anchor moveWithCells="1" sizeWithCells="1">
                  <from>
                    <xdr:col>2</xdr:col>
                    <xdr:colOff>238125</xdr:colOff>
                    <xdr:row>15</xdr:row>
                    <xdr:rowOff>47625</xdr:rowOff>
                  </from>
                  <to>
                    <xdr:col>4</xdr:col>
                    <xdr:colOff>38100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>
    <tabColor indexed="11"/>
  </sheetPr>
  <dimension ref="A1:C9"/>
  <sheetViews>
    <sheetView workbookViewId="0">
      <selection sqref="A1:C9"/>
    </sheetView>
  </sheetViews>
  <sheetFormatPr baseColWidth="10" defaultColWidth="11.42578125" defaultRowHeight="12.75"/>
  <cols>
    <col min="3" max="3" width="45.140625" bestFit="1" customWidth="1"/>
  </cols>
  <sheetData>
    <row r="1" spans="1:3">
      <c r="A1" t="s">
        <v>0</v>
      </c>
      <c r="B1" t="s">
        <v>15</v>
      </c>
      <c r="C1" t="s">
        <v>16</v>
      </c>
    </row>
    <row r="2" spans="1:3">
      <c r="A2" t="s">
        <v>1</v>
      </c>
      <c r="B2" t="str">
        <f>+TEXT('Front Page'!A7,"0")</f>
        <v>Version</v>
      </c>
      <c r="C2" t="str">
        <f>IF(B2="Saving date",TEXT('Front Page'!B7,"dd/mm/yyyy"),IF(B2="Saving time",TEXT('Front Page'!B7,"hh:mm:ss"),TEXT('Front Page'!B7,"0")))</f>
        <v>244</v>
      </c>
    </row>
    <row r="3" spans="1:3">
      <c r="A3" t="s">
        <v>1</v>
      </c>
      <c r="B3" t="str">
        <f>+TEXT('Front Page'!A8,"0")</f>
        <v>Key</v>
      </c>
      <c r="C3" t="str">
        <f>IF(B3="Saving date",TEXT('Front Page'!B8,"dd/mm/yyyy"),IF(B3="Saving time",TEXT('Front Page'!B8,"hh:mm:ss"),TEXT('Front Page'!B8,"0")))</f>
        <v>4450</v>
      </c>
    </row>
    <row r="4" spans="1:3">
      <c r="A4" t="s">
        <v>1</v>
      </c>
      <c r="B4" t="str">
        <f>+TEXT('Front Page'!A9,"0")</f>
        <v>Saving user</v>
      </c>
      <c r="C4" t="str">
        <f>IF(B4="Saving date",TEXT('Front Page'!B9,"dd/mm/yyyy"),IF(B4="Saving time",TEXT('Front Page'!B9,"hh:mm:ss"),TEXT('Front Page'!B9,"0")))</f>
        <v>Lucas Lascano</v>
      </c>
    </row>
    <row r="5" spans="1:3">
      <c r="A5" t="s">
        <v>1</v>
      </c>
      <c r="B5" t="str">
        <f>+TEXT('Front Page'!A10,"0")</f>
        <v>Saving date</v>
      </c>
      <c r="C5" t="str">
        <f>IF(B5="Saving date",TEXT('Front Page'!B10,"dd/mm/yyyy"),IF(B5="Saving time",TEXT('Front Page'!B10,"hh:mm:ss"),TEXT('Front Page'!B10,"0")))</f>
        <v>04/06/2019</v>
      </c>
    </row>
    <row r="6" spans="1:3">
      <c r="A6" t="s">
        <v>1</v>
      </c>
      <c r="B6" t="str">
        <f>+TEXT('Front Page'!A11,"0")</f>
        <v>Saving time</v>
      </c>
      <c r="C6" t="str">
        <f>IF(B6="Saving date",TEXT('Front Page'!B11,"dd/mm/yyyy"),IF(B6="Saving time",TEXT('Front Page'!B11,"hh:mm:ss"),TEXT('Front Page'!B11,"0")))</f>
        <v>15:08:19</v>
      </c>
    </row>
    <row r="7" spans="1:3">
      <c r="A7" t="s">
        <v>1</v>
      </c>
      <c r="B7" t="str">
        <f>+TEXT('Front Page'!A12,"0")</f>
        <v>Filename</v>
      </c>
      <c r="C7" t="str">
        <f>IF(B7="Saving date",TEXT('Front Page'!B12,"dd/mm/yyyy"),IF(B7="Saving time",TEXT('Front Page'!B12,"hh:mm:ss"),TEXT('Front Page'!B12,"0")))</f>
        <v>Generic IPM Input Template.xls</v>
      </c>
    </row>
    <row r="8" spans="1:3">
      <c r="A8" t="s">
        <v>1</v>
      </c>
      <c r="B8" t="str">
        <f>+TEXT('Front Page'!A13,"0")</f>
        <v>FilePath</v>
      </c>
      <c r="C8" t="str">
        <f>IF(B8="Saving date",TEXT('Front Page'!B13,"dd/mm/yyyy"),IF(B8="Saving time",TEXT('Front Page'!B13,"hh:mm:ss"),TEXT('Front Page'!B13,"0")))</f>
        <v>C:\Users\Lucas Lascano\Downloads</v>
      </c>
    </row>
    <row r="9" spans="1:3">
      <c r="A9" t="s">
        <v>1</v>
      </c>
      <c r="B9" t="str">
        <f>+TEXT('Front Page'!A14,"0")</f>
        <v>Links Info</v>
      </c>
      <c r="C9" t="str">
        <f>IF(B9="Saving date",TEXT('Front Page'!B14,"dd/mm/yyyy"),IF(B9="Saving time",TEXT('Front Page'!B14,"hh:mm:ss"),TEXT('Front Page'!B14,"0")))</f>
        <v>C:\Novix\Proyectos\GGCL\MOT GGCL BP 09\Indexes.xls</v>
      </c>
    </row>
  </sheetData>
  <phoneticPr fontId="0" type="noConversion"/>
  <pageMargins left="0.75" right="0.75" top="1" bottom="1" header="0" footer="0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>
    <tabColor indexed="10"/>
  </sheetPr>
  <dimension ref="A1:R42"/>
  <sheetViews>
    <sheetView showGridLines="0" topLeftCell="B1" zoomScale="85" zoomScaleNormal="85" workbookViewId="0">
      <selection activeCell="A6" sqref="A6:A25"/>
    </sheetView>
  </sheetViews>
  <sheetFormatPr baseColWidth="10" defaultRowHeight="12.75"/>
  <cols>
    <col min="1" max="1" width="11.42578125" style="37" hidden="1" customWidth="1"/>
    <col min="2" max="2" width="32.85546875" style="37" bestFit="1" customWidth="1"/>
    <col min="3" max="3" width="18" style="37" bestFit="1" customWidth="1"/>
    <col min="4" max="4" width="2.28515625" style="37" customWidth="1"/>
    <col min="5" max="5" width="12.85546875" style="37" customWidth="1"/>
    <col min="6" max="6" width="24.42578125" style="37" customWidth="1"/>
    <col min="7" max="7" width="2.5703125" style="37" customWidth="1"/>
    <col min="8" max="11" width="11.42578125" style="37"/>
    <col min="12" max="12" width="2.5703125" style="37" customWidth="1"/>
    <col min="13" max="16384" width="11.42578125" style="37"/>
  </cols>
  <sheetData>
    <row r="1" spans="1:18" s="47" customFormat="1" ht="18">
      <c r="B1" s="45" t="s">
        <v>28</v>
      </c>
    </row>
    <row r="2" spans="1:18" s="2" customFormat="1"/>
    <row r="3" spans="1:18" s="2" customFormat="1"/>
    <row r="4" spans="1:18" s="2" customFormat="1">
      <c r="H4"/>
      <c r="I4"/>
      <c r="J4"/>
      <c r="K4"/>
      <c r="L4"/>
      <c r="M4"/>
      <c r="N4"/>
      <c r="O4"/>
      <c r="P4"/>
      <c r="Q4"/>
      <c r="R4"/>
    </row>
    <row r="5" spans="1:18" s="2" customFormat="1" ht="15" thickBot="1">
      <c r="B5" s="49"/>
      <c r="C5"/>
      <c r="D5"/>
      <c r="E5"/>
      <c r="H5"/>
      <c r="I5"/>
      <c r="J5"/>
      <c r="K5"/>
      <c r="L5"/>
      <c r="M5"/>
      <c r="N5"/>
      <c r="O5"/>
      <c r="P5"/>
      <c r="Q5"/>
      <c r="R5"/>
    </row>
    <row r="6" spans="1:18" s="2" customFormat="1" ht="15.75" thickBot="1">
      <c r="A6" s="2" t="s">
        <v>22</v>
      </c>
      <c r="B6" s="48" t="s">
        <v>73</v>
      </c>
      <c r="C6" s="50" t="s">
        <v>74</v>
      </c>
      <c r="D6"/>
      <c r="E6" s="48" t="s">
        <v>21</v>
      </c>
      <c r="F6" s="84" t="s">
        <v>75</v>
      </c>
      <c r="H6"/>
      <c r="I6"/>
      <c r="J6"/>
      <c r="K6"/>
      <c r="L6"/>
      <c r="M6"/>
      <c r="N6"/>
      <c r="O6"/>
      <c r="P6"/>
      <c r="Q6"/>
      <c r="R6"/>
    </row>
    <row r="7" spans="1:18" s="38" customFormat="1">
      <c r="A7" s="2">
        <v>1</v>
      </c>
      <c r="B7" s="52" t="s">
        <v>80</v>
      </c>
      <c r="C7" s="80">
        <v>48000000</v>
      </c>
      <c r="D7"/>
      <c r="E7" s="78">
        <v>2011</v>
      </c>
      <c r="F7" s="85">
        <v>7.7999999999999996E-3</v>
      </c>
      <c r="H7"/>
      <c r="I7"/>
      <c r="J7"/>
      <c r="K7"/>
      <c r="L7"/>
      <c r="M7"/>
      <c r="N7"/>
      <c r="O7"/>
      <c r="P7"/>
      <c r="Q7"/>
      <c r="R7"/>
    </row>
    <row r="8" spans="1:18" s="2" customFormat="1">
      <c r="A8" s="2">
        <v>1</v>
      </c>
      <c r="B8" s="53" t="s">
        <v>81</v>
      </c>
      <c r="C8" s="81">
        <v>21120392</v>
      </c>
      <c r="D8"/>
      <c r="E8" s="79">
        <v>2012</v>
      </c>
      <c r="F8" s="86">
        <v>7.6E-3</v>
      </c>
      <c r="H8"/>
      <c r="I8"/>
      <c r="J8"/>
      <c r="K8"/>
      <c r="L8"/>
      <c r="M8"/>
      <c r="N8"/>
      <c r="O8"/>
      <c r="P8"/>
      <c r="Q8"/>
      <c r="R8"/>
    </row>
    <row r="9" spans="1:18" s="2" customFormat="1">
      <c r="A9" s="2">
        <v>1</v>
      </c>
      <c r="B9" s="53" t="s">
        <v>82</v>
      </c>
      <c r="C9" s="81">
        <v>41556307</v>
      </c>
      <c r="D9"/>
      <c r="E9" s="79">
        <v>2013</v>
      </c>
      <c r="F9" s="86">
        <v>7.4000000000000003E-3</v>
      </c>
      <c r="H9"/>
      <c r="I9"/>
      <c r="J9"/>
      <c r="K9"/>
      <c r="L9"/>
      <c r="M9"/>
      <c r="N9"/>
      <c r="O9"/>
      <c r="P9"/>
      <c r="Q9"/>
      <c r="R9"/>
    </row>
    <row r="10" spans="1:18" s="2" customFormat="1" ht="12" customHeight="1">
      <c r="A10" s="2">
        <v>1</v>
      </c>
      <c r="B10" s="53" t="s">
        <v>83</v>
      </c>
      <c r="C10" s="81">
        <v>14727584</v>
      </c>
      <c r="D10"/>
      <c r="E10" s="79">
        <v>2014</v>
      </c>
      <c r="F10" s="86">
        <v>7.9000000000000008E-3</v>
      </c>
      <c r="H10"/>
      <c r="I10"/>
      <c r="J10"/>
      <c r="K10"/>
      <c r="L10"/>
      <c r="M10"/>
      <c r="N10"/>
      <c r="O10"/>
      <c r="P10"/>
      <c r="Q10"/>
      <c r="R10"/>
    </row>
    <row r="11" spans="1:18" s="2" customFormat="1">
      <c r="A11" s="2">
        <v>1</v>
      </c>
      <c r="B11" s="53" t="s">
        <v>84</v>
      </c>
      <c r="C11" s="81">
        <v>18876703</v>
      </c>
      <c r="D11"/>
      <c r="E11" s="79">
        <v>2015</v>
      </c>
      <c r="F11" s="86">
        <v>8.0000000000000002E-3</v>
      </c>
      <c r="H11"/>
      <c r="I11"/>
      <c r="J11"/>
      <c r="K11"/>
      <c r="L11"/>
      <c r="M11"/>
      <c r="N11"/>
      <c r="O11"/>
      <c r="P11"/>
      <c r="Q11"/>
      <c r="R11"/>
    </row>
    <row r="12" spans="1:18" s="2" customFormat="1">
      <c r="A12" s="2">
        <v>1</v>
      </c>
      <c r="B12" s="53" t="s">
        <v>85</v>
      </c>
      <c r="C12" s="81">
        <v>63276764</v>
      </c>
      <c r="D12"/>
      <c r="E12" s="79">
        <v>2016</v>
      </c>
      <c r="F12" s="86">
        <v>7.7999999999999996E-3</v>
      </c>
      <c r="H12"/>
      <c r="I12"/>
      <c r="J12"/>
      <c r="K12"/>
      <c r="L12"/>
      <c r="M12"/>
      <c r="N12"/>
      <c r="O12"/>
      <c r="P12"/>
      <c r="Q12"/>
      <c r="R12"/>
    </row>
    <row r="13" spans="1:18" s="2" customFormat="1">
      <c r="A13" s="2">
        <v>1</v>
      </c>
      <c r="B13" s="53" t="s">
        <v>86</v>
      </c>
      <c r="C13" s="81">
        <v>39029380</v>
      </c>
      <c r="D13"/>
      <c r="E13" s="79">
        <v>2017</v>
      </c>
      <c r="F13" s="86">
        <v>8.199999999999999E-3</v>
      </c>
      <c r="H13"/>
      <c r="I13"/>
      <c r="J13"/>
      <c r="K13"/>
      <c r="L13"/>
      <c r="M13"/>
      <c r="N13"/>
      <c r="O13"/>
      <c r="P13"/>
      <c r="Q13"/>
      <c r="R13"/>
    </row>
    <row r="14" spans="1:18" s="2" customFormat="1">
      <c r="A14" s="2">
        <v>1</v>
      </c>
      <c r="B14" s="53" t="s">
        <v>87</v>
      </c>
      <c r="C14" s="81">
        <v>23530498</v>
      </c>
      <c r="D14"/>
      <c r="E14" s="79">
        <v>2018</v>
      </c>
      <c r="F14" s="86">
        <v>8.199999999999999E-3</v>
      </c>
      <c r="H14"/>
      <c r="I14"/>
      <c r="J14"/>
      <c r="K14"/>
      <c r="L14"/>
      <c r="M14"/>
      <c r="N14"/>
      <c r="O14"/>
      <c r="P14"/>
      <c r="Q14"/>
      <c r="R14"/>
    </row>
    <row r="15" spans="1:18" s="2" customFormat="1" ht="13.5" thickBot="1">
      <c r="A15" s="2">
        <v>1</v>
      </c>
      <c r="B15" s="54" t="s">
        <v>88</v>
      </c>
      <c r="C15" s="82">
        <v>52514181</v>
      </c>
      <c r="D15"/>
      <c r="E15" s="79">
        <v>2019</v>
      </c>
      <c r="F15" s="86">
        <v>8.1000000000000013E-3</v>
      </c>
      <c r="G15" s="38"/>
      <c r="H15"/>
      <c r="I15"/>
      <c r="J15"/>
      <c r="K15"/>
      <c r="L15"/>
      <c r="M15"/>
      <c r="N15"/>
      <c r="O15"/>
      <c r="P15"/>
      <c r="Q15"/>
      <c r="R15"/>
    </row>
    <row r="16" spans="1:18" s="2" customFormat="1">
      <c r="A16" s="2">
        <v>1</v>
      </c>
      <c r="B16"/>
      <c r="C16"/>
      <c r="D16"/>
      <c r="E16" s="79">
        <v>2020</v>
      </c>
      <c r="F16" s="86">
        <v>8.1000000000000013E-3</v>
      </c>
      <c r="H16"/>
      <c r="I16"/>
      <c r="J16"/>
      <c r="K16"/>
      <c r="L16"/>
      <c r="M16"/>
      <c r="N16"/>
      <c r="O16"/>
      <c r="P16"/>
      <c r="Q16"/>
      <c r="R16"/>
    </row>
    <row r="17" spans="1:18" s="2" customFormat="1">
      <c r="A17" s="2">
        <v>1</v>
      </c>
      <c r="B17"/>
      <c r="C17"/>
      <c r="D17"/>
      <c r="E17" s="79">
        <v>2021</v>
      </c>
      <c r="F17" s="86">
        <v>8.0000000000000002E-3</v>
      </c>
      <c r="H17"/>
      <c r="I17"/>
      <c r="J17"/>
      <c r="K17"/>
      <c r="L17"/>
      <c r="M17"/>
      <c r="N17"/>
      <c r="O17"/>
      <c r="P17"/>
      <c r="Q17"/>
      <c r="R17"/>
    </row>
    <row r="18" spans="1:18" s="2" customFormat="1">
      <c r="A18" s="2">
        <v>1</v>
      </c>
      <c r="B18"/>
      <c r="C18"/>
      <c r="D18"/>
      <c r="E18" s="79">
        <v>2022</v>
      </c>
      <c r="F18" s="86">
        <v>7.9000000000000008E-3</v>
      </c>
      <c r="H18"/>
      <c r="I18"/>
      <c r="J18"/>
      <c r="K18"/>
      <c r="L18"/>
      <c r="M18"/>
      <c r="N18"/>
      <c r="O18"/>
      <c r="P18"/>
      <c r="Q18"/>
      <c r="R18"/>
    </row>
    <row r="19" spans="1:18" s="2" customFormat="1">
      <c r="A19" s="2">
        <v>1</v>
      </c>
      <c r="B19"/>
      <c r="C19"/>
      <c r="D19"/>
      <c r="E19" s="79">
        <v>2023</v>
      </c>
      <c r="F19" s="86">
        <v>7.8000000000000005E-3</v>
      </c>
      <c r="H19"/>
      <c r="I19"/>
      <c r="J19"/>
      <c r="K19"/>
      <c r="L19"/>
      <c r="M19"/>
      <c r="N19"/>
      <c r="O19"/>
      <c r="P19"/>
      <c r="Q19"/>
      <c r="R19"/>
    </row>
    <row r="20" spans="1:18" s="2" customFormat="1">
      <c r="A20" s="2">
        <v>1</v>
      </c>
      <c r="B20"/>
      <c r="C20"/>
      <c r="D20"/>
      <c r="E20" s="79">
        <v>2024</v>
      </c>
      <c r="F20" s="86">
        <v>7.7000000000000002E-3</v>
      </c>
      <c r="H20"/>
      <c r="I20"/>
      <c r="J20"/>
      <c r="K20"/>
      <c r="L20"/>
      <c r="M20"/>
      <c r="N20"/>
      <c r="O20"/>
      <c r="P20"/>
      <c r="Q20"/>
      <c r="R20"/>
    </row>
    <row r="21" spans="1:18" s="2" customFormat="1">
      <c r="A21" s="2">
        <v>1</v>
      </c>
      <c r="B21"/>
      <c r="C21"/>
      <c r="D21"/>
      <c r="E21" s="79">
        <v>2025</v>
      </c>
      <c r="F21" s="86">
        <v>7.6E-3</v>
      </c>
      <c r="H21"/>
      <c r="I21"/>
      <c r="J21"/>
      <c r="K21"/>
      <c r="L21"/>
      <c r="M21"/>
      <c r="N21"/>
      <c r="O21"/>
      <c r="P21"/>
      <c r="Q21"/>
      <c r="R21"/>
    </row>
    <row r="22" spans="1:18" s="2" customFormat="1">
      <c r="A22" s="2">
        <v>1</v>
      </c>
      <c r="B22"/>
      <c r="C22"/>
      <c r="D22"/>
      <c r="E22" s="79">
        <v>2026</v>
      </c>
      <c r="F22" s="86">
        <v>7.4000000000000003E-3</v>
      </c>
      <c r="H22"/>
      <c r="I22"/>
      <c r="J22"/>
      <c r="K22"/>
      <c r="L22"/>
      <c r="M22"/>
      <c r="N22"/>
      <c r="O22"/>
      <c r="P22"/>
      <c r="Q22"/>
      <c r="R22"/>
    </row>
    <row r="23" spans="1:18" s="2" customFormat="1">
      <c r="A23" s="2">
        <v>1</v>
      </c>
      <c r="B23"/>
      <c r="C23"/>
      <c r="D23"/>
      <c r="E23" s="79">
        <v>2027</v>
      </c>
      <c r="F23" s="86">
        <v>7.3000000000000001E-3</v>
      </c>
      <c r="G23" s="38"/>
      <c r="H23"/>
      <c r="I23"/>
      <c r="J23"/>
      <c r="K23"/>
      <c r="L23"/>
      <c r="M23"/>
      <c r="N23"/>
      <c r="O23"/>
      <c r="P23"/>
      <c r="Q23"/>
      <c r="R23"/>
    </row>
    <row r="24" spans="1:18" s="2" customFormat="1">
      <c r="A24" s="2">
        <v>1</v>
      </c>
      <c r="B24"/>
      <c r="C24"/>
      <c r="D24"/>
      <c r="E24" s="79">
        <v>2028</v>
      </c>
      <c r="F24" s="86">
        <v>7.1999999999999998E-3</v>
      </c>
    </row>
    <row r="25" spans="1:18" s="2" customFormat="1" ht="13.5" thickBot="1">
      <c r="A25" s="2">
        <v>1</v>
      </c>
      <c r="B25"/>
      <c r="C25"/>
      <c r="D25"/>
      <c r="E25" s="83">
        <v>2029</v>
      </c>
      <c r="F25" s="87">
        <v>6.9999999999999993E-3</v>
      </c>
    </row>
    <row r="26" spans="1:18" s="2" customFormat="1">
      <c r="B26"/>
      <c r="C26"/>
      <c r="D26"/>
      <c r="E26"/>
    </row>
    <row r="27" spans="1:18" s="2" customFormat="1">
      <c r="B27"/>
      <c r="C27"/>
      <c r="D27"/>
      <c r="E27"/>
    </row>
    <row r="28" spans="1:18" s="2" customFormat="1">
      <c r="B28"/>
      <c r="C28"/>
      <c r="D28"/>
      <c r="E28"/>
    </row>
    <row r="29" spans="1:18" s="2" customFormat="1">
      <c r="B29"/>
      <c r="C29"/>
      <c r="D29"/>
      <c r="E29"/>
    </row>
    <row r="30" spans="1:18" s="2" customFormat="1">
      <c r="B30"/>
      <c r="C30"/>
      <c r="D30"/>
      <c r="E30"/>
    </row>
    <row r="31" spans="1:18" s="2" customFormat="1">
      <c r="B31"/>
      <c r="C31"/>
      <c r="D31"/>
      <c r="E31"/>
      <c r="G31" s="38"/>
    </row>
    <row r="32" spans="1:18">
      <c r="B32"/>
      <c r="C32"/>
      <c r="D32"/>
      <c r="E32"/>
      <c r="G32" s="2"/>
    </row>
    <row r="33" spans="2:7">
      <c r="B33"/>
      <c r="C33"/>
      <c r="D33"/>
      <c r="E33"/>
      <c r="G33" s="2"/>
    </row>
    <row r="34" spans="2:7">
      <c r="B34"/>
      <c r="C34"/>
      <c r="D34"/>
      <c r="E34"/>
      <c r="G34" s="2"/>
    </row>
    <row r="35" spans="2:7">
      <c r="B35"/>
      <c r="C35"/>
      <c r="D35"/>
      <c r="E35"/>
      <c r="G35" s="2"/>
    </row>
    <row r="36" spans="2:7">
      <c r="B36"/>
      <c r="C36"/>
      <c r="D36"/>
      <c r="E36"/>
      <c r="G36" s="2"/>
    </row>
    <row r="37" spans="2:7">
      <c r="B37"/>
      <c r="C37"/>
      <c r="D37"/>
      <c r="E37"/>
      <c r="G37" s="2"/>
    </row>
    <row r="38" spans="2:7">
      <c r="B38"/>
      <c r="C38"/>
      <c r="D38"/>
      <c r="E38"/>
      <c r="G38" s="2"/>
    </row>
    <row r="39" spans="2:7">
      <c r="D39"/>
      <c r="E39"/>
      <c r="G39" s="38"/>
    </row>
    <row r="40" spans="2:7">
      <c r="D40"/>
      <c r="E40"/>
      <c r="G40" s="2"/>
    </row>
    <row r="41" spans="2:7">
      <c r="D41"/>
      <c r="E41"/>
      <c r="G41" s="2"/>
    </row>
    <row r="42" spans="2:7">
      <c r="D42"/>
      <c r="E42"/>
      <c r="G42" s="2"/>
    </row>
  </sheetData>
  <phoneticPr fontId="0" type="noConversion"/>
  <pageMargins left="0.75" right="0.75" top="1" bottom="1" header="0" footer="0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>
    <tabColor indexed="11"/>
  </sheetPr>
  <dimension ref="A1:GH20"/>
  <sheetViews>
    <sheetView zoomScale="85" zoomScaleNormal="85" workbookViewId="0">
      <selection sqref="A1:E20"/>
    </sheetView>
  </sheetViews>
  <sheetFormatPr baseColWidth="10" defaultColWidth="11.42578125" defaultRowHeight="12.75"/>
  <cols>
    <col min="2" max="2" width="18.7109375" bestFit="1" customWidth="1"/>
    <col min="3" max="3" width="17.42578125" bestFit="1" customWidth="1"/>
    <col min="4" max="4" width="21.5703125" bestFit="1" customWidth="1"/>
    <col min="5" max="5" width="22.140625" customWidth="1"/>
    <col min="6" max="46" width="8" customWidth="1"/>
  </cols>
  <sheetData>
    <row r="1" spans="1:190" s="3" customFormat="1">
      <c r="A1" t="s">
        <v>22</v>
      </c>
      <c r="B1" t="str">
        <f>TEXT('Potential Market'!B6,"0")</f>
        <v>Regions</v>
      </c>
      <c r="C1" s="99" t="s">
        <v>76</v>
      </c>
      <c r="D1" t="s">
        <v>27</v>
      </c>
      <c r="E1" s="99" t="s">
        <v>77</v>
      </c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</row>
    <row r="2" spans="1:190">
      <c r="A2">
        <f>'Potential Market'!A7</f>
        <v>1</v>
      </c>
      <c r="B2" t="str">
        <f>TEXT('Potential Market'!B7,"0")</f>
        <v>Region A</v>
      </c>
      <c r="C2" s="42">
        <f>+'Potential Market'!C7</f>
        <v>48000000</v>
      </c>
      <c r="D2" s="42" t="str">
        <f>TEXT('Potential Market'!E7,"0")</f>
        <v>2011</v>
      </c>
      <c r="E2" s="72">
        <f>'Potential Market'!F7</f>
        <v>7.7999999999999996E-3</v>
      </c>
    </row>
    <row r="3" spans="1:190">
      <c r="A3">
        <f>'Potential Market'!A8</f>
        <v>1</v>
      </c>
      <c r="B3" t="str">
        <f>TEXT('Potential Market'!B8,"0")</f>
        <v>Region B</v>
      </c>
      <c r="C3">
        <f>+'Potential Market'!C8</f>
        <v>21120392</v>
      </c>
      <c r="D3" t="str">
        <f>TEXT('Potential Market'!E8,"0")</f>
        <v>2012</v>
      </c>
      <c r="E3">
        <f>'Potential Market'!F8</f>
        <v>7.6E-3</v>
      </c>
    </row>
    <row r="4" spans="1:190">
      <c r="A4">
        <f>'Potential Market'!A9</f>
        <v>1</v>
      </c>
      <c r="B4" t="str">
        <f>TEXT('Potential Market'!B9,"0")</f>
        <v>Region C</v>
      </c>
      <c r="C4">
        <f>+'Potential Market'!C9</f>
        <v>41556307</v>
      </c>
      <c r="D4" t="str">
        <f>TEXT('Potential Market'!E9,"0")</f>
        <v>2013</v>
      </c>
      <c r="E4">
        <f>'Potential Market'!F9</f>
        <v>7.4000000000000003E-3</v>
      </c>
    </row>
    <row r="5" spans="1:190">
      <c r="A5">
        <f>'Potential Market'!A10</f>
        <v>1</v>
      </c>
      <c r="B5" t="str">
        <f>TEXT('Potential Market'!B10,"0")</f>
        <v>Region D</v>
      </c>
      <c r="C5">
        <f>+'Potential Market'!C10</f>
        <v>14727584</v>
      </c>
      <c r="D5" t="str">
        <f>TEXT('Potential Market'!E10,"0")</f>
        <v>2014</v>
      </c>
      <c r="E5">
        <f>'Potential Market'!F10</f>
        <v>7.9000000000000008E-3</v>
      </c>
    </row>
    <row r="6" spans="1:190">
      <c r="A6">
        <f>'Potential Market'!A11</f>
        <v>1</v>
      </c>
      <c r="B6" t="str">
        <f>TEXT('Potential Market'!B11,"0")</f>
        <v>Region E</v>
      </c>
      <c r="C6">
        <f>+'Potential Market'!C11</f>
        <v>18876703</v>
      </c>
      <c r="D6" t="str">
        <f>TEXT('Potential Market'!E11,"0")</f>
        <v>2015</v>
      </c>
      <c r="E6">
        <f>'Potential Market'!F11</f>
        <v>8.0000000000000002E-3</v>
      </c>
    </row>
    <row r="7" spans="1:190">
      <c r="A7">
        <f>'Potential Market'!A12</f>
        <v>1</v>
      </c>
      <c r="B7" t="str">
        <f>TEXT('Potential Market'!B12,"0")</f>
        <v>Region F</v>
      </c>
      <c r="C7">
        <f>+'Potential Market'!C12</f>
        <v>63276764</v>
      </c>
      <c r="D7" t="str">
        <f>TEXT('Potential Market'!E12,"0")</f>
        <v>2016</v>
      </c>
      <c r="E7">
        <f>'Potential Market'!F12</f>
        <v>7.7999999999999996E-3</v>
      </c>
    </row>
    <row r="8" spans="1:190">
      <c r="A8">
        <f>'Potential Market'!A13</f>
        <v>1</v>
      </c>
      <c r="B8" t="str">
        <f>TEXT('Potential Market'!B13,"0")</f>
        <v>Region G</v>
      </c>
      <c r="C8">
        <f>+'Potential Market'!C13</f>
        <v>39029380</v>
      </c>
      <c r="D8" t="str">
        <f>TEXT('Potential Market'!E13,"0")</f>
        <v>2017</v>
      </c>
      <c r="E8">
        <f>'Potential Market'!F13</f>
        <v>8.199999999999999E-3</v>
      </c>
    </row>
    <row r="9" spans="1:190">
      <c r="A9">
        <f>'Potential Market'!A14</f>
        <v>1</v>
      </c>
      <c r="B9" t="str">
        <f>TEXT('Potential Market'!B14,"0")</f>
        <v>Region H</v>
      </c>
      <c r="C9">
        <f>+'Potential Market'!C14</f>
        <v>23530498</v>
      </c>
      <c r="D9" t="str">
        <f>TEXT('Potential Market'!E14,"0")</f>
        <v>2018</v>
      </c>
      <c r="E9">
        <f>'Potential Market'!F14</f>
        <v>8.199999999999999E-3</v>
      </c>
    </row>
    <row r="10" spans="1:190">
      <c r="A10">
        <f>'Potential Market'!A15</f>
        <v>1</v>
      </c>
      <c r="B10" t="str">
        <f>TEXT('Potential Market'!B15,"0")</f>
        <v>Region I</v>
      </c>
      <c r="C10">
        <f>+'Potential Market'!C15</f>
        <v>52514181</v>
      </c>
      <c r="D10" t="str">
        <f>TEXT('Potential Market'!E15,"0")</f>
        <v>2019</v>
      </c>
      <c r="E10">
        <f>'Potential Market'!F15</f>
        <v>8.1000000000000013E-3</v>
      </c>
    </row>
    <row r="11" spans="1:190">
      <c r="A11">
        <f>'Potential Market'!A16</f>
        <v>1</v>
      </c>
      <c r="B11" t="str">
        <f>TEXT('Potential Market'!B16,"0")</f>
        <v>0</v>
      </c>
      <c r="C11">
        <f>+'Potential Market'!C16</f>
        <v>0</v>
      </c>
      <c r="D11" t="str">
        <f>TEXT('Potential Market'!E16,"0")</f>
        <v>2020</v>
      </c>
      <c r="E11">
        <f>'Potential Market'!F16</f>
        <v>8.1000000000000013E-3</v>
      </c>
    </row>
    <row r="12" spans="1:190">
      <c r="A12">
        <f>'Potential Market'!A17</f>
        <v>1</v>
      </c>
      <c r="B12" t="str">
        <f>TEXT('Potential Market'!B17,"0")</f>
        <v>0</v>
      </c>
      <c r="C12">
        <f>+'Potential Market'!C17</f>
        <v>0</v>
      </c>
      <c r="D12" t="str">
        <f>TEXT('Potential Market'!E17,"0")</f>
        <v>2021</v>
      </c>
      <c r="E12">
        <f>'Potential Market'!F17</f>
        <v>8.0000000000000002E-3</v>
      </c>
    </row>
    <row r="13" spans="1:190">
      <c r="A13">
        <f>'Potential Market'!A18</f>
        <v>1</v>
      </c>
      <c r="B13" t="str">
        <f>TEXT('Potential Market'!B18,"0")</f>
        <v>0</v>
      </c>
      <c r="C13">
        <f>+'Potential Market'!C18</f>
        <v>0</v>
      </c>
      <c r="D13" t="str">
        <f>TEXT('Potential Market'!E18,"0")</f>
        <v>2022</v>
      </c>
      <c r="E13">
        <f>'Potential Market'!F18</f>
        <v>7.9000000000000008E-3</v>
      </c>
    </row>
    <row r="14" spans="1:190">
      <c r="A14">
        <f>'Potential Market'!A19</f>
        <v>1</v>
      </c>
      <c r="B14" t="str">
        <f>TEXT('Potential Market'!B19,"0")</f>
        <v>0</v>
      </c>
      <c r="C14">
        <f>+'Potential Market'!C19</f>
        <v>0</v>
      </c>
      <c r="D14" t="str">
        <f>TEXT('Potential Market'!E19,"0")</f>
        <v>2023</v>
      </c>
      <c r="E14">
        <f>'Potential Market'!F19</f>
        <v>7.8000000000000005E-3</v>
      </c>
    </row>
    <row r="15" spans="1:190">
      <c r="A15">
        <f>'Potential Market'!A20</f>
        <v>1</v>
      </c>
      <c r="B15" t="str">
        <f>TEXT('Potential Market'!B20,"0")</f>
        <v>0</v>
      </c>
      <c r="C15">
        <f>+'Potential Market'!C20</f>
        <v>0</v>
      </c>
      <c r="D15" t="str">
        <f>TEXT('Potential Market'!E20,"0")</f>
        <v>2024</v>
      </c>
      <c r="E15">
        <f>'Potential Market'!F20</f>
        <v>7.7000000000000002E-3</v>
      </c>
    </row>
    <row r="16" spans="1:190">
      <c r="A16">
        <f>'Potential Market'!A21</f>
        <v>1</v>
      </c>
      <c r="B16" t="str">
        <f>TEXT('Potential Market'!B21,"0")</f>
        <v>0</v>
      </c>
      <c r="C16">
        <f>+'Potential Market'!C21</f>
        <v>0</v>
      </c>
      <c r="D16" t="str">
        <f>TEXT('Potential Market'!E21,"0")</f>
        <v>2025</v>
      </c>
      <c r="E16">
        <f>'Potential Market'!F21</f>
        <v>7.6E-3</v>
      </c>
    </row>
    <row r="17" spans="1:5">
      <c r="A17">
        <f>'Potential Market'!A22</f>
        <v>1</v>
      </c>
      <c r="B17" t="str">
        <f>TEXT('Potential Market'!B22,"0")</f>
        <v>0</v>
      </c>
      <c r="C17">
        <f>+'Potential Market'!C22</f>
        <v>0</v>
      </c>
      <c r="D17" t="str">
        <f>TEXT('Potential Market'!E22,"0")</f>
        <v>2026</v>
      </c>
      <c r="E17">
        <f>'Potential Market'!F22</f>
        <v>7.4000000000000003E-3</v>
      </c>
    </row>
    <row r="18" spans="1:5">
      <c r="A18">
        <f>'Potential Market'!A23</f>
        <v>1</v>
      </c>
      <c r="B18" t="str">
        <f>TEXT('Potential Market'!B23,"0")</f>
        <v>0</v>
      </c>
      <c r="C18">
        <f>+'Potential Market'!C23</f>
        <v>0</v>
      </c>
      <c r="D18" t="str">
        <f>TEXT('Potential Market'!E23,"0")</f>
        <v>2027</v>
      </c>
      <c r="E18">
        <f>'Potential Market'!F23</f>
        <v>7.3000000000000001E-3</v>
      </c>
    </row>
    <row r="19" spans="1:5">
      <c r="A19">
        <f>'Potential Market'!A24</f>
        <v>1</v>
      </c>
      <c r="B19" t="str">
        <f>TEXT('Potential Market'!B24,"0")</f>
        <v>0</v>
      </c>
      <c r="C19">
        <f>+'Potential Market'!C24</f>
        <v>0</v>
      </c>
      <c r="D19" t="str">
        <f>TEXT('Potential Market'!E24,"0")</f>
        <v>2028</v>
      </c>
      <c r="E19">
        <f>'Potential Market'!F24</f>
        <v>7.1999999999999998E-3</v>
      </c>
    </row>
    <row r="20" spans="1:5">
      <c r="A20">
        <f>'Potential Market'!A25</f>
        <v>1</v>
      </c>
      <c r="B20" t="str">
        <f>TEXT('Potential Market'!B25,"0")</f>
        <v>0</v>
      </c>
      <c r="C20">
        <f>+'Potential Market'!C25</f>
        <v>0</v>
      </c>
      <c r="D20" t="str">
        <f>TEXT('Potential Market'!E25,"0")</f>
        <v>2029</v>
      </c>
      <c r="E20">
        <f>'Potential Market'!F25</f>
        <v>6.9999999999999993E-3</v>
      </c>
    </row>
  </sheetData>
  <phoneticPr fontId="0" type="noConversion"/>
  <pageMargins left="0.75" right="0.75" top="1" bottom="1" header="0" footer="0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>
    <tabColor indexed="10"/>
  </sheetPr>
  <dimension ref="A1:M42"/>
  <sheetViews>
    <sheetView showGridLines="0" topLeftCell="B1" zoomScale="85" zoomScaleNormal="85" workbookViewId="0">
      <selection activeCell="A6" sqref="A6:A25"/>
    </sheetView>
  </sheetViews>
  <sheetFormatPr baseColWidth="10" defaultRowHeight="12.75"/>
  <cols>
    <col min="1" max="1" width="11.42578125" style="37" hidden="1" customWidth="1"/>
    <col min="2" max="2" width="19.7109375" style="37" customWidth="1"/>
    <col min="3" max="3" width="15.7109375" style="37" customWidth="1"/>
    <col min="4" max="4" width="18" style="37" bestFit="1" customWidth="1"/>
    <col min="5" max="5" width="14.5703125" style="37" customWidth="1"/>
    <col min="6" max="6" width="2.5703125" style="37" customWidth="1"/>
    <col min="7" max="7" width="23.7109375" style="37" bestFit="1" customWidth="1"/>
    <col min="8" max="8" width="2.5703125" style="37" customWidth="1"/>
    <col min="9" max="9" width="11.42578125" style="37"/>
    <col min="10" max="10" width="24.5703125" style="37" customWidth="1"/>
    <col min="11" max="11" width="2.5703125" style="37" customWidth="1"/>
    <col min="12" max="12" width="24.5703125" style="37" bestFit="1" customWidth="1"/>
    <col min="13" max="13" width="16.5703125" style="37" bestFit="1" customWidth="1"/>
    <col min="14" max="16384" width="11.42578125" style="37"/>
  </cols>
  <sheetData>
    <row r="1" spans="1:13" s="47" customFormat="1" ht="18">
      <c r="B1" s="45" t="s">
        <v>20</v>
      </c>
    </row>
    <row r="2" spans="1:13" s="2" customFormat="1"/>
    <row r="3" spans="1:13" s="2" customFormat="1" ht="13.5" thickBot="1"/>
    <row r="4" spans="1:13" s="2" customFormat="1" ht="15.75" thickBot="1">
      <c r="B4" s="103" t="s">
        <v>40</v>
      </c>
      <c r="C4" s="104"/>
      <c r="D4" s="104"/>
      <c r="E4" s="105"/>
      <c r="G4" s="103" t="s">
        <v>26</v>
      </c>
      <c r="H4" s="104"/>
      <c r="I4" s="104"/>
      <c r="J4" s="104"/>
      <c r="K4" s="104"/>
      <c r="L4" s="104"/>
      <c r="M4" s="105"/>
    </row>
    <row r="5" spans="1:13" s="2" customFormat="1" ht="15.75" thickBot="1">
      <c r="B5" s="58"/>
      <c r="C5" s="100" t="s">
        <v>29</v>
      </c>
      <c r="D5" s="101"/>
      <c r="E5" s="102"/>
    </row>
    <row r="6" spans="1:13" s="2" customFormat="1" ht="30.75" thickBot="1">
      <c r="A6" s="2" t="s">
        <v>24</v>
      </c>
      <c r="B6" s="50" t="s">
        <v>30</v>
      </c>
      <c r="C6" s="48" t="s">
        <v>42</v>
      </c>
      <c r="D6" s="48" t="s">
        <v>43</v>
      </c>
      <c r="E6" s="48" t="s">
        <v>44</v>
      </c>
      <c r="F6"/>
      <c r="G6" s="48" t="s">
        <v>31</v>
      </c>
      <c r="I6" s="48" t="s">
        <v>21</v>
      </c>
      <c r="J6" s="51" t="s">
        <v>32</v>
      </c>
      <c r="L6" s="48" t="s">
        <v>33</v>
      </c>
      <c r="M6" s="51" t="s">
        <v>34</v>
      </c>
    </row>
    <row r="7" spans="1:13" s="38" customFormat="1" ht="13.5" thickBot="1">
      <c r="A7" s="2">
        <v>1</v>
      </c>
      <c r="B7" s="39" t="s">
        <v>45</v>
      </c>
      <c r="C7" s="59">
        <v>3900000</v>
      </c>
      <c r="D7" s="60">
        <v>2700000</v>
      </c>
      <c r="E7" s="61">
        <v>6000000</v>
      </c>
      <c r="F7"/>
      <c r="G7" s="68">
        <v>200</v>
      </c>
      <c r="H7" s="2"/>
      <c r="I7" s="52">
        <v>2011</v>
      </c>
      <c r="J7" s="55">
        <v>0</v>
      </c>
      <c r="K7" s="2"/>
      <c r="L7" s="52" t="s">
        <v>52</v>
      </c>
      <c r="M7" s="69">
        <v>1200000</v>
      </c>
    </row>
    <row r="8" spans="1:13" s="2" customFormat="1">
      <c r="A8" s="2">
        <v>1</v>
      </c>
      <c r="B8" s="40" t="s">
        <v>46</v>
      </c>
      <c r="C8" s="62">
        <v>1500000</v>
      </c>
      <c r="D8" s="63">
        <v>0</v>
      </c>
      <c r="E8" s="64">
        <v>1248000</v>
      </c>
      <c r="F8"/>
      <c r="G8" s="38"/>
      <c r="H8" s="38"/>
      <c r="I8" s="53">
        <v>2012</v>
      </c>
      <c r="J8" s="56">
        <v>0.03</v>
      </c>
      <c r="K8" s="38"/>
      <c r="L8" s="53" t="s">
        <v>53</v>
      </c>
      <c r="M8" s="70">
        <v>8000000</v>
      </c>
    </row>
    <row r="9" spans="1:13" s="2" customFormat="1" ht="13.5" thickBot="1">
      <c r="A9" s="2">
        <v>1</v>
      </c>
      <c r="B9" s="40" t="s">
        <v>23</v>
      </c>
      <c r="C9" s="62">
        <v>0</v>
      </c>
      <c r="D9" s="63">
        <v>4998000</v>
      </c>
      <c r="E9" s="64">
        <v>0</v>
      </c>
      <c r="F9"/>
      <c r="I9" s="53">
        <v>2013</v>
      </c>
      <c r="J9" s="56">
        <v>0.02</v>
      </c>
      <c r="L9" s="54" t="s">
        <v>54</v>
      </c>
      <c r="M9" s="71">
        <v>80</v>
      </c>
    </row>
    <row r="10" spans="1:13" s="2" customFormat="1" ht="12" customHeight="1">
      <c r="A10" s="2">
        <v>1</v>
      </c>
      <c r="B10" s="40" t="s">
        <v>47</v>
      </c>
      <c r="C10" s="62">
        <v>1002000</v>
      </c>
      <c r="D10" s="63">
        <v>0</v>
      </c>
      <c r="E10" s="64">
        <v>0</v>
      </c>
      <c r="F10"/>
      <c r="I10" s="53">
        <v>2014</v>
      </c>
      <c r="J10" s="56">
        <v>0.04</v>
      </c>
    </row>
    <row r="11" spans="1:13" s="2" customFormat="1">
      <c r="A11" s="2">
        <v>1</v>
      </c>
      <c r="B11" s="40" t="s">
        <v>48</v>
      </c>
      <c r="C11" s="62">
        <v>3000000</v>
      </c>
      <c r="D11" s="63">
        <v>3000000</v>
      </c>
      <c r="E11" s="64">
        <v>0</v>
      </c>
      <c r="F11"/>
      <c r="I11" s="53">
        <v>2015</v>
      </c>
      <c r="J11" s="56">
        <v>0.03</v>
      </c>
    </row>
    <row r="12" spans="1:13" s="2" customFormat="1">
      <c r="A12" s="2">
        <v>1</v>
      </c>
      <c r="B12" s="40" t="s">
        <v>49</v>
      </c>
      <c r="C12" s="62">
        <v>4998000</v>
      </c>
      <c r="D12" s="63">
        <v>0</v>
      </c>
      <c r="E12" s="64">
        <v>0</v>
      </c>
      <c r="F12"/>
      <c r="I12" s="53">
        <v>2016</v>
      </c>
      <c r="J12" s="56">
        <v>0.03</v>
      </c>
    </row>
    <row r="13" spans="1:13" s="2" customFormat="1">
      <c r="A13" s="2">
        <v>1</v>
      </c>
      <c r="B13" s="40" t="s">
        <v>50</v>
      </c>
      <c r="C13" s="62">
        <v>1002000</v>
      </c>
      <c r="D13" s="63">
        <v>1248000</v>
      </c>
      <c r="E13" s="64">
        <v>1248000</v>
      </c>
      <c r="F13"/>
      <c r="I13" s="53">
        <v>2017</v>
      </c>
      <c r="J13" s="56">
        <v>0.03</v>
      </c>
    </row>
    <row r="14" spans="1:13" s="2" customFormat="1" ht="13.5" thickBot="1">
      <c r="A14" s="2">
        <v>1</v>
      </c>
      <c r="B14" s="41" t="s">
        <v>51</v>
      </c>
      <c r="C14" s="65">
        <v>4998000</v>
      </c>
      <c r="D14" s="66">
        <v>600000</v>
      </c>
      <c r="E14" s="67">
        <v>630000</v>
      </c>
      <c r="F14"/>
      <c r="I14" s="53">
        <v>2018</v>
      </c>
      <c r="J14" s="56">
        <v>0.03</v>
      </c>
    </row>
    <row r="15" spans="1:13" customFormat="1">
      <c r="A15" s="2">
        <v>1</v>
      </c>
      <c r="G15" s="2"/>
      <c r="H15" s="2"/>
      <c r="I15" s="53">
        <v>2019</v>
      </c>
      <c r="J15" s="56">
        <v>0.03</v>
      </c>
      <c r="K15" s="2"/>
      <c r="L15" s="2"/>
      <c r="M15" s="2"/>
    </row>
    <row r="16" spans="1:13" customFormat="1">
      <c r="A16" s="2">
        <v>1</v>
      </c>
      <c r="C16" s="98"/>
      <c r="D16" s="88"/>
      <c r="I16" s="53">
        <v>2020</v>
      </c>
      <c r="J16" s="56">
        <v>0.03</v>
      </c>
    </row>
    <row r="17" spans="1:10" customFormat="1">
      <c r="A17" s="2">
        <v>1</v>
      </c>
      <c r="D17" s="89"/>
      <c r="I17" s="53">
        <v>2021</v>
      </c>
      <c r="J17" s="56">
        <v>0.03</v>
      </c>
    </row>
    <row r="18" spans="1:10" customFormat="1">
      <c r="A18" s="2">
        <v>1</v>
      </c>
      <c r="I18" s="53">
        <v>2022</v>
      </c>
      <c r="J18" s="56">
        <v>0.03</v>
      </c>
    </row>
    <row r="19" spans="1:10" customFormat="1">
      <c r="A19" s="2">
        <v>1</v>
      </c>
      <c r="I19" s="53">
        <v>2023</v>
      </c>
      <c r="J19" s="56">
        <v>0.03</v>
      </c>
    </row>
    <row r="20" spans="1:10" customFormat="1">
      <c r="A20" s="2">
        <v>1</v>
      </c>
      <c r="I20" s="53">
        <v>2024</v>
      </c>
      <c r="J20" s="56">
        <v>0.03</v>
      </c>
    </row>
    <row r="21" spans="1:10" customFormat="1">
      <c r="A21" s="2">
        <v>1</v>
      </c>
      <c r="I21" s="53">
        <v>2025</v>
      </c>
      <c r="J21" s="56">
        <v>0.03</v>
      </c>
    </row>
    <row r="22" spans="1:10" customFormat="1">
      <c r="A22" s="2">
        <v>1</v>
      </c>
      <c r="I22" s="53">
        <v>2026</v>
      </c>
      <c r="J22" s="56">
        <v>0.03</v>
      </c>
    </row>
    <row r="23" spans="1:10" customFormat="1">
      <c r="A23" s="2">
        <v>1</v>
      </c>
      <c r="I23" s="53">
        <v>2027</v>
      </c>
      <c r="J23" s="56">
        <v>0.03</v>
      </c>
    </row>
    <row r="24" spans="1:10" customFormat="1">
      <c r="A24" s="2">
        <v>1</v>
      </c>
      <c r="I24" s="53">
        <v>2028</v>
      </c>
      <c r="J24" s="56">
        <v>0.03</v>
      </c>
    </row>
    <row r="25" spans="1:10" customFormat="1" ht="13.5" thickBot="1">
      <c r="A25" s="2">
        <v>1</v>
      </c>
      <c r="I25" s="54">
        <v>2029</v>
      </c>
      <c r="J25" s="57">
        <v>0.03</v>
      </c>
    </row>
    <row r="26" spans="1:10" customFormat="1"/>
    <row r="27" spans="1:10" customFormat="1"/>
    <row r="28" spans="1:10" customFormat="1"/>
    <row r="29" spans="1:10" customFormat="1"/>
    <row r="30" spans="1:10" customFormat="1"/>
    <row r="31" spans="1:10" customFormat="1"/>
    <row r="32" spans="1:10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</sheetData>
  <mergeCells count="3">
    <mergeCell ref="C5:E5"/>
    <mergeCell ref="B4:E4"/>
    <mergeCell ref="G4:M4"/>
  </mergeCells>
  <phoneticPr fontId="0" type="noConversion"/>
  <dataValidations count="1">
    <dataValidation type="list" allowBlank="1" showInputMessage="1" showErrorMessage="1" sqref="E7:E14">
      <formula1>#REF!</formula1>
    </dataValidation>
  </dataValidations>
  <pageMargins left="0.75" right="0.75" top="1" bottom="1" header="0" footer="0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>
    <tabColor indexed="11"/>
  </sheetPr>
  <dimension ref="A1:GH20"/>
  <sheetViews>
    <sheetView topLeftCell="D1" zoomScale="85" zoomScaleNormal="85" workbookViewId="0">
      <selection sqref="A1:J20"/>
    </sheetView>
  </sheetViews>
  <sheetFormatPr baseColWidth="10" defaultColWidth="11.42578125" defaultRowHeight="12.75"/>
  <cols>
    <col min="1" max="1" width="7.42578125" bestFit="1" customWidth="1"/>
    <col min="2" max="2" width="14.85546875" bestFit="1" customWidth="1"/>
    <col min="3" max="3" width="11.7109375" bestFit="1" customWidth="1"/>
    <col min="4" max="4" width="14.7109375" bestFit="1" customWidth="1"/>
    <col min="5" max="5" width="10.7109375" bestFit="1" customWidth="1"/>
    <col min="6" max="6" width="19.85546875" bestFit="1" customWidth="1"/>
    <col min="7" max="7" width="9.7109375" bestFit="1" customWidth="1"/>
    <col min="8" max="8" width="27.85546875" bestFit="1" customWidth="1"/>
    <col min="9" max="9" width="21" bestFit="1" customWidth="1"/>
    <col min="10" max="10" width="14.140625" bestFit="1" customWidth="1"/>
    <col min="11" max="46" width="8" customWidth="1"/>
  </cols>
  <sheetData>
    <row r="1" spans="1:190" s="3" customFormat="1">
      <c r="A1" t="str">
        <f>TEXT(OPEX!A6,"0")</f>
        <v>Ayu lec</v>
      </c>
      <c r="B1" t="s">
        <v>38</v>
      </c>
      <c r="C1" t="str">
        <f>TEXT(OPEX!C6,"0")</f>
        <v>Administration</v>
      </c>
      <c r="D1" t="str">
        <f>TEXT(OPEX!D6,"0")</f>
        <v>Commercialization</v>
      </c>
      <c r="E1" t="str">
        <f>TEXT(OPEX!E6,"0")</f>
        <v>Engineering</v>
      </c>
      <c r="F1" t="str">
        <f>TEXT(OPEX!G6,"0")</f>
        <v>Empleados Existentes</v>
      </c>
      <c r="G1" t="s">
        <v>27</v>
      </c>
      <c r="H1" t="str">
        <f>OPEX!J6</f>
        <v>Tasa de Crecimiento Anual de Empleados</v>
      </c>
      <c r="I1" t="s">
        <v>37</v>
      </c>
      <c r="J1" t="str">
        <f>OPEX!M6</f>
        <v>Activos Existentes</v>
      </c>
      <c r="K1" s="77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</row>
    <row r="2" spans="1:190">
      <c r="A2" s="42">
        <f>+OPEX!A7</f>
        <v>1</v>
      </c>
      <c r="B2" t="str">
        <f>TEXT(OPEX!B7,"0")</f>
        <v>Manpower</v>
      </c>
      <c r="C2" s="42">
        <f>+OPEX!C7</f>
        <v>3900000</v>
      </c>
      <c r="D2" s="42">
        <f>+OPEX!D7</f>
        <v>2700000</v>
      </c>
      <c r="E2" s="42">
        <f>+OPEX!E7</f>
        <v>6000000</v>
      </c>
      <c r="F2" s="73">
        <f>OPEX!G7</f>
        <v>200</v>
      </c>
      <c r="G2" t="str">
        <f>TEXT(OPEX!I7,"0")</f>
        <v>2011</v>
      </c>
      <c r="H2">
        <f>OPEX!J7</f>
        <v>0</v>
      </c>
      <c r="I2" t="str">
        <f>TEXT(OPEX!L7,"0")</f>
        <v>Building surface (m2)</v>
      </c>
      <c r="J2">
        <f>OPEX!M7</f>
        <v>1200000</v>
      </c>
    </row>
    <row r="3" spans="1:190">
      <c r="A3">
        <f>+OPEX!A8</f>
        <v>1</v>
      </c>
      <c r="B3" t="str">
        <f>TEXT(OPEX!B8,"0")</f>
        <v>Energy</v>
      </c>
      <c r="C3">
        <f>+OPEX!C8</f>
        <v>1500000</v>
      </c>
      <c r="D3">
        <f>+OPEX!D8</f>
        <v>0</v>
      </c>
      <c r="E3">
        <f>+OPEX!E8</f>
        <v>1248000</v>
      </c>
      <c r="F3">
        <f>OPEX!G8</f>
        <v>0</v>
      </c>
      <c r="G3" t="str">
        <f>TEXT(OPEX!I8,"0")</f>
        <v>2012</v>
      </c>
      <c r="H3">
        <f>OPEX!J8</f>
        <v>0.03</v>
      </c>
      <c r="I3" t="str">
        <f>TEXT(OPEX!L8,"0")</f>
        <v>Plant &amp; Machinery (Un.)</v>
      </c>
      <c r="J3">
        <f>OPEX!M8</f>
        <v>8000000</v>
      </c>
    </row>
    <row r="4" spans="1:190">
      <c r="A4">
        <f>+OPEX!A9</f>
        <v>1</v>
      </c>
      <c r="B4" t="str">
        <f>TEXT(OPEX!B9,"0")</f>
        <v>Marketing</v>
      </c>
      <c r="C4">
        <f>+OPEX!C9</f>
        <v>0</v>
      </c>
      <c r="D4">
        <f>+OPEX!D9</f>
        <v>4998000</v>
      </c>
      <c r="E4">
        <f>+OPEX!E9</f>
        <v>0</v>
      </c>
      <c r="F4">
        <f>OPEX!G9</f>
        <v>0</v>
      </c>
      <c r="G4" t="str">
        <f>TEXT(OPEX!I9,"0")</f>
        <v>2013</v>
      </c>
      <c r="H4">
        <f>OPEX!J9</f>
        <v>0.02</v>
      </c>
      <c r="I4" t="str">
        <f>TEXT(OPEX!L9,"0")</f>
        <v>Vehicles (Un.)</v>
      </c>
      <c r="J4">
        <f>OPEX!M9</f>
        <v>80</v>
      </c>
    </row>
    <row r="5" spans="1:190">
      <c r="A5">
        <f>+OPEX!A10</f>
        <v>1</v>
      </c>
      <c r="B5" t="str">
        <f>TEXT(OPEX!B10,"0")</f>
        <v>Taxes</v>
      </c>
      <c r="C5">
        <f>+OPEX!C10</f>
        <v>1002000</v>
      </c>
      <c r="D5">
        <f>+OPEX!D10</f>
        <v>0</v>
      </c>
      <c r="E5">
        <f>+OPEX!E10</f>
        <v>0</v>
      </c>
      <c r="F5">
        <f>OPEX!G10</f>
        <v>0</v>
      </c>
      <c r="G5" t="str">
        <f>TEXT(OPEX!I10,"0")</f>
        <v>2014</v>
      </c>
      <c r="H5">
        <f>OPEX!J10</f>
        <v>0.04</v>
      </c>
      <c r="I5" t="str">
        <f>TEXT(OPEX!L10,"0")</f>
        <v>0</v>
      </c>
      <c r="J5">
        <f>OPEX!M10</f>
        <v>0</v>
      </c>
    </row>
    <row r="6" spans="1:190">
      <c r="A6">
        <f>+OPEX!A11</f>
        <v>1</v>
      </c>
      <c r="B6" t="str">
        <f>TEXT(OPEX!B11,"0")</f>
        <v>Travelling</v>
      </c>
      <c r="C6">
        <f>+OPEX!C11</f>
        <v>3000000</v>
      </c>
      <c r="D6">
        <f>+OPEX!D11</f>
        <v>3000000</v>
      </c>
      <c r="E6">
        <f>+OPEX!E11</f>
        <v>0</v>
      </c>
      <c r="F6">
        <f>OPEX!G11</f>
        <v>0</v>
      </c>
      <c r="G6" t="str">
        <f>TEXT(OPEX!I11,"0")</f>
        <v>2015</v>
      </c>
      <c r="H6">
        <f>OPEX!J11</f>
        <v>0.03</v>
      </c>
      <c r="I6" t="str">
        <f>TEXT(OPEX!L11,"0")</f>
        <v>0</v>
      </c>
      <c r="J6">
        <f>OPEX!M11</f>
        <v>0</v>
      </c>
    </row>
    <row r="7" spans="1:190">
      <c r="A7">
        <f>+OPEX!A12</f>
        <v>1</v>
      </c>
      <c r="B7" t="str">
        <f>TEXT(OPEX!B12,"0")</f>
        <v>Communications</v>
      </c>
      <c r="C7">
        <f>+OPEX!C12</f>
        <v>4998000</v>
      </c>
      <c r="D7">
        <f>+OPEX!D12</f>
        <v>0</v>
      </c>
      <c r="E7">
        <f>+OPEX!E12</f>
        <v>0</v>
      </c>
      <c r="F7">
        <f>OPEX!G12</f>
        <v>0</v>
      </c>
      <c r="G7" t="str">
        <f>TEXT(OPEX!I12,"0")</f>
        <v>2016</v>
      </c>
      <c r="H7">
        <f>OPEX!J12</f>
        <v>0.03</v>
      </c>
      <c r="I7" t="str">
        <f>TEXT(OPEX!L12,"0")</f>
        <v>0</v>
      </c>
      <c r="J7">
        <f>OPEX!M12</f>
        <v>0</v>
      </c>
    </row>
    <row r="8" spans="1:190">
      <c r="A8">
        <f>+OPEX!A13</f>
        <v>1</v>
      </c>
      <c r="B8" t="str">
        <f>TEXT(OPEX!B13,"0")</f>
        <v>Maintenance</v>
      </c>
      <c r="C8">
        <f>+OPEX!C13</f>
        <v>1002000</v>
      </c>
      <c r="D8">
        <f>+OPEX!D13</f>
        <v>1248000</v>
      </c>
      <c r="E8">
        <f>+OPEX!E13</f>
        <v>1248000</v>
      </c>
      <c r="F8">
        <f>OPEX!G13</f>
        <v>0</v>
      </c>
      <c r="G8" t="str">
        <f>TEXT(OPEX!I13,"0")</f>
        <v>2017</v>
      </c>
      <c r="H8">
        <f>OPEX!J13</f>
        <v>0.03</v>
      </c>
      <c r="I8" t="str">
        <f>TEXT(OPEX!L13,"0")</f>
        <v>0</v>
      </c>
      <c r="J8">
        <f>OPEX!M13</f>
        <v>0</v>
      </c>
    </row>
    <row r="9" spans="1:190">
      <c r="A9">
        <f>+OPEX!A14</f>
        <v>1</v>
      </c>
      <c r="B9" t="str">
        <f>TEXT(OPEX!B14,"0")</f>
        <v>Others</v>
      </c>
      <c r="C9">
        <f>+OPEX!C14</f>
        <v>4998000</v>
      </c>
      <c r="D9">
        <f>+OPEX!D14</f>
        <v>600000</v>
      </c>
      <c r="E9">
        <f>+OPEX!E14</f>
        <v>630000</v>
      </c>
      <c r="F9">
        <f>OPEX!G14</f>
        <v>0</v>
      </c>
      <c r="G9" t="str">
        <f>TEXT(OPEX!I14,"0")</f>
        <v>2018</v>
      </c>
      <c r="H9">
        <f>OPEX!J14</f>
        <v>0.03</v>
      </c>
      <c r="I9" t="str">
        <f>TEXT(OPEX!L14,"0")</f>
        <v>0</v>
      </c>
      <c r="J9">
        <f>OPEX!M14</f>
        <v>0</v>
      </c>
    </row>
    <row r="10" spans="1:190">
      <c r="A10">
        <f>+OPEX!A15</f>
        <v>1</v>
      </c>
      <c r="B10" t="str">
        <f>TEXT(OPEX!B15,"0")</f>
        <v>0</v>
      </c>
      <c r="C10">
        <f>+OPEX!C15</f>
        <v>0</v>
      </c>
      <c r="D10">
        <f>+OPEX!D15</f>
        <v>0</v>
      </c>
      <c r="E10">
        <f>+OPEX!E15</f>
        <v>0</v>
      </c>
      <c r="F10">
        <f>OPEX!G15</f>
        <v>0</v>
      </c>
      <c r="G10" t="str">
        <f>TEXT(OPEX!I15,"0")</f>
        <v>2019</v>
      </c>
      <c r="H10">
        <f>OPEX!J15</f>
        <v>0.03</v>
      </c>
      <c r="I10" t="str">
        <f>TEXT(OPEX!L15,"0")</f>
        <v>0</v>
      </c>
      <c r="J10">
        <f>OPEX!M15</f>
        <v>0</v>
      </c>
    </row>
    <row r="11" spans="1:190">
      <c r="A11">
        <f>+OPEX!A16</f>
        <v>1</v>
      </c>
      <c r="B11" t="str">
        <f>TEXT(OPEX!B16,"0")</f>
        <v>0</v>
      </c>
      <c r="C11">
        <f>+OPEX!C16</f>
        <v>0</v>
      </c>
      <c r="D11">
        <f>+OPEX!D16</f>
        <v>0</v>
      </c>
      <c r="E11">
        <f>+OPEX!E16</f>
        <v>0</v>
      </c>
      <c r="F11">
        <f>OPEX!G16</f>
        <v>0</v>
      </c>
      <c r="G11" t="str">
        <f>TEXT(OPEX!I16,"0")</f>
        <v>2020</v>
      </c>
      <c r="H11">
        <f>OPEX!J16</f>
        <v>0.03</v>
      </c>
      <c r="I11" t="str">
        <f>TEXT(OPEX!L16,"0")</f>
        <v>0</v>
      </c>
      <c r="J11">
        <f>OPEX!M16</f>
        <v>0</v>
      </c>
    </row>
    <row r="12" spans="1:190">
      <c r="A12">
        <f>+OPEX!A17</f>
        <v>1</v>
      </c>
      <c r="B12" t="str">
        <f>TEXT(OPEX!B17,"0")</f>
        <v>0</v>
      </c>
      <c r="C12">
        <f>+OPEX!C17</f>
        <v>0</v>
      </c>
      <c r="D12">
        <f>+OPEX!D17</f>
        <v>0</v>
      </c>
      <c r="E12">
        <f>+OPEX!E17</f>
        <v>0</v>
      </c>
      <c r="F12">
        <f>OPEX!G17</f>
        <v>0</v>
      </c>
      <c r="G12" t="str">
        <f>TEXT(OPEX!I17,"0")</f>
        <v>2021</v>
      </c>
      <c r="H12">
        <f>OPEX!J17</f>
        <v>0.03</v>
      </c>
      <c r="I12" t="str">
        <f>TEXT(OPEX!L17,"0")</f>
        <v>0</v>
      </c>
      <c r="J12">
        <f>OPEX!M17</f>
        <v>0</v>
      </c>
    </row>
    <row r="13" spans="1:190">
      <c r="A13">
        <f>+OPEX!A18</f>
        <v>1</v>
      </c>
      <c r="B13" t="str">
        <f>TEXT(OPEX!B18,"0")</f>
        <v>0</v>
      </c>
      <c r="C13">
        <f>+OPEX!C18</f>
        <v>0</v>
      </c>
      <c r="D13">
        <f>+OPEX!D18</f>
        <v>0</v>
      </c>
      <c r="E13">
        <f>+OPEX!E18</f>
        <v>0</v>
      </c>
      <c r="F13">
        <f>OPEX!G18</f>
        <v>0</v>
      </c>
      <c r="G13" t="str">
        <f>TEXT(OPEX!I18,"0")</f>
        <v>2022</v>
      </c>
      <c r="H13">
        <f>OPEX!J18</f>
        <v>0.03</v>
      </c>
      <c r="I13" t="str">
        <f>TEXT(OPEX!L18,"0")</f>
        <v>0</v>
      </c>
      <c r="J13">
        <f>OPEX!M18</f>
        <v>0</v>
      </c>
    </row>
    <row r="14" spans="1:190">
      <c r="A14">
        <f>+OPEX!A19</f>
        <v>1</v>
      </c>
      <c r="B14" t="str">
        <f>TEXT(OPEX!B19,"0")</f>
        <v>0</v>
      </c>
      <c r="C14">
        <f>+OPEX!C19</f>
        <v>0</v>
      </c>
      <c r="D14">
        <f>+OPEX!D19</f>
        <v>0</v>
      </c>
      <c r="E14">
        <f>+OPEX!E19</f>
        <v>0</v>
      </c>
      <c r="F14">
        <f>OPEX!G19</f>
        <v>0</v>
      </c>
      <c r="G14" t="str">
        <f>TEXT(OPEX!I19,"0")</f>
        <v>2023</v>
      </c>
      <c r="H14">
        <f>OPEX!J19</f>
        <v>0.03</v>
      </c>
      <c r="I14" t="str">
        <f>TEXT(OPEX!L19,"0")</f>
        <v>0</v>
      </c>
      <c r="J14">
        <f>OPEX!M19</f>
        <v>0</v>
      </c>
    </row>
    <row r="15" spans="1:190">
      <c r="A15">
        <f>+OPEX!A20</f>
        <v>1</v>
      </c>
      <c r="B15" t="str">
        <f>TEXT(OPEX!B20,"0")</f>
        <v>0</v>
      </c>
      <c r="C15">
        <f>+OPEX!C20</f>
        <v>0</v>
      </c>
      <c r="D15">
        <f>+OPEX!D20</f>
        <v>0</v>
      </c>
      <c r="E15">
        <f>+OPEX!E20</f>
        <v>0</v>
      </c>
      <c r="F15">
        <f>OPEX!G20</f>
        <v>0</v>
      </c>
      <c r="G15" t="str">
        <f>TEXT(OPEX!I20,"0")</f>
        <v>2024</v>
      </c>
      <c r="H15">
        <f>OPEX!J20</f>
        <v>0.03</v>
      </c>
      <c r="I15" t="str">
        <f>TEXT(OPEX!L20,"0")</f>
        <v>0</v>
      </c>
      <c r="J15">
        <f>OPEX!M20</f>
        <v>0</v>
      </c>
    </row>
    <row r="16" spans="1:190">
      <c r="A16">
        <f>+OPEX!A21</f>
        <v>1</v>
      </c>
      <c r="B16" t="str">
        <f>TEXT(OPEX!B21,"0")</f>
        <v>0</v>
      </c>
      <c r="C16">
        <f>+OPEX!C21</f>
        <v>0</v>
      </c>
      <c r="D16">
        <f>+OPEX!D21</f>
        <v>0</v>
      </c>
      <c r="E16">
        <f>+OPEX!E21</f>
        <v>0</v>
      </c>
      <c r="F16">
        <f>OPEX!G21</f>
        <v>0</v>
      </c>
      <c r="G16" t="str">
        <f>TEXT(OPEX!I21,"0")</f>
        <v>2025</v>
      </c>
      <c r="H16">
        <f>OPEX!J21</f>
        <v>0.03</v>
      </c>
      <c r="I16" t="str">
        <f>TEXT(OPEX!L21,"0")</f>
        <v>0</v>
      </c>
      <c r="J16">
        <f>OPEX!M21</f>
        <v>0</v>
      </c>
    </row>
    <row r="17" spans="1:10">
      <c r="A17">
        <f>+OPEX!A22</f>
        <v>1</v>
      </c>
      <c r="B17" t="str">
        <f>TEXT(OPEX!B22,"0")</f>
        <v>0</v>
      </c>
      <c r="C17">
        <f>+OPEX!C22</f>
        <v>0</v>
      </c>
      <c r="D17">
        <f>+OPEX!D22</f>
        <v>0</v>
      </c>
      <c r="E17">
        <f>+OPEX!E22</f>
        <v>0</v>
      </c>
      <c r="F17">
        <f>OPEX!G22</f>
        <v>0</v>
      </c>
      <c r="G17" t="str">
        <f>TEXT(OPEX!I22,"0")</f>
        <v>2026</v>
      </c>
      <c r="H17">
        <f>OPEX!J22</f>
        <v>0.03</v>
      </c>
      <c r="I17" t="str">
        <f>TEXT(OPEX!L22,"0")</f>
        <v>0</v>
      </c>
      <c r="J17">
        <f>OPEX!M22</f>
        <v>0</v>
      </c>
    </row>
    <row r="18" spans="1:10">
      <c r="A18">
        <f>+OPEX!A23</f>
        <v>1</v>
      </c>
      <c r="B18" t="str">
        <f>TEXT(OPEX!B23,"0")</f>
        <v>0</v>
      </c>
      <c r="C18">
        <f>+OPEX!C23</f>
        <v>0</v>
      </c>
      <c r="D18">
        <f>+OPEX!D23</f>
        <v>0</v>
      </c>
      <c r="E18">
        <f>+OPEX!E23</f>
        <v>0</v>
      </c>
      <c r="F18">
        <f>OPEX!G23</f>
        <v>0</v>
      </c>
      <c r="G18" t="str">
        <f>TEXT(OPEX!I23,"0")</f>
        <v>2027</v>
      </c>
      <c r="H18">
        <f>OPEX!J23</f>
        <v>0.03</v>
      </c>
      <c r="I18" t="str">
        <f>TEXT(OPEX!L23,"0")</f>
        <v>0</v>
      </c>
      <c r="J18">
        <f>OPEX!M23</f>
        <v>0</v>
      </c>
    </row>
    <row r="19" spans="1:10">
      <c r="A19">
        <f>+OPEX!A24</f>
        <v>1</v>
      </c>
      <c r="B19" t="str">
        <f>TEXT(OPEX!B24,"0")</f>
        <v>0</v>
      </c>
      <c r="C19">
        <f>+OPEX!C24</f>
        <v>0</v>
      </c>
      <c r="D19">
        <f>+OPEX!D24</f>
        <v>0</v>
      </c>
      <c r="E19">
        <f>+OPEX!E24</f>
        <v>0</v>
      </c>
      <c r="F19">
        <f>OPEX!G24</f>
        <v>0</v>
      </c>
      <c r="G19" t="str">
        <f>TEXT(OPEX!I24,"0")</f>
        <v>2028</v>
      </c>
      <c r="H19">
        <f>OPEX!J24</f>
        <v>0.03</v>
      </c>
      <c r="I19" t="str">
        <f>TEXT(OPEX!L24,"0")</f>
        <v>0</v>
      </c>
      <c r="J19">
        <f>OPEX!M24</f>
        <v>0</v>
      </c>
    </row>
    <row r="20" spans="1:10">
      <c r="A20">
        <f>+OPEX!A25</f>
        <v>1</v>
      </c>
      <c r="B20" t="str">
        <f>TEXT(OPEX!B25,"0")</f>
        <v>0</v>
      </c>
      <c r="C20">
        <f>+OPEX!C25</f>
        <v>0</v>
      </c>
      <c r="D20">
        <f>+OPEX!D25</f>
        <v>0</v>
      </c>
      <c r="E20">
        <f>+OPEX!E25</f>
        <v>0</v>
      </c>
      <c r="F20">
        <f>OPEX!G25</f>
        <v>0</v>
      </c>
      <c r="G20" t="str">
        <f>TEXT(OPEX!I25,"0")</f>
        <v>2029</v>
      </c>
      <c r="H20">
        <f>OPEX!J25</f>
        <v>0.03</v>
      </c>
      <c r="I20" t="str">
        <f>TEXT(OPEX!L25,"0")</f>
        <v>0</v>
      </c>
      <c r="J20">
        <f>OPEX!M25</f>
        <v>0</v>
      </c>
    </row>
  </sheetData>
  <phoneticPr fontId="0" type="noConversion"/>
  <pageMargins left="0.75" right="0.75" top="1" bottom="1" header="0" footer="0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10"/>
  </sheetPr>
  <dimension ref="A1:I42"/>
  <sheetViews>
    <sheetView showGridLines="0" zoomScale="85" zoomScaleNormal="85" workbookViewId="0">
      <selection activeCell="A6" sqref="A6:A33"/>
    </sheetView>
  </sheetViews>
  <sheetFormatPr baseColWidth="10" defaultRowHeight="12.75"/>
  <cols>
    <col min="1" max="1" width="25.28515625" style="2" customWidth="1"/>
    <col min="2" max="2" width="16.5703125" style="1" bestFit="1" customWidth="1"/>
    <col min="3" max="3" width="4.7109375" style="2" customWidth="1"/>
    <col min="4" max="4" width="16.42578125" style="2" customWidth="1"/>
    <col min="5" max="5" width="23.85546875" style="2" customWidth="1"/>
    <col min="6" max="6" width="14.85546875" style="2" bestFit="1" customWidth="1"/>
    <col min="7" max="7" width="11.42578125" style="2"/>
    <col min="8" max="8" width="13.85546875" style="2" bestFit="1" customWidth="1"/>
    <col min="9" max="16384" width="11.42578125" style="2"/>
  </cols>
  <sheetData>
    <row r="1" spans="1:9" s="46" customFormat="1" ht="18">
      <c r="A1" s="45" t="s">
        <v>41</v>
      </c>
    </row>
    <row r="4" spans="1:9" ht="13.5" thickBot="1"/>
    <row r="5" spans="1:9" ht="13.5" thickBot="1">
      <c r="A5" s="44" t="s">
        <v>35</v>
      </c>
      <c r="B5" s="43" t="s">
        <v>36</v>
      </c>
    </row>
    <row r="6" spans="1:9" s="92" customFormat="1" ht="14.25" customHeight="1">
      <c r="A6" s="90" t="s">
        <v>55</v>
      </c>
      <c r="B6" s="91">
        <v>68000000</v>
      </c>
      <c r="D6" s="93"/>
      <c r="E6"/>
      <c r="F6"/>
      <c r="G6"/>
    </row>
    <row r="7" spans="1:9" s="95" customFormat="1">
      <c r="A7" s="94" t="s">
        <v>56</v>
      </c>
      <c r="B7" s="74">
        <v>90000000</v>
      </c>
      <c r="D7" s="93"/>
      <c r="E7"/>
      <c r="F7"/>
      <c r="G7"/>
    </row>
    <row r="8" spans="1:9" s="95" customFormat="1">
      <c r="A8" s="94" t="s">
        <v>57</v>
      </c>
      <c r="B8" s="74">
        <v>142000000</v>
      </c>
      <c r="D8" s="93"/>
      <c r="E8"/>
      <c r="F8"/>
      <c r="G8"/>
    </row>
    <row r="9" spans="1:9" s="95" customFormat="1">
      <c r="A9" s="94" t="s">
        <v>58</v>
      </c>
      <c r="B9" s="74">
        <v>99000000</v>
      </c>
      <c r="D9" s="93"/>
      <c r="E9"/>
      <c r="F9"/>
      <c r="G9"/>
    </row>
    <row r="10" spans="1:9" s="95" customFormat="1" ht="12" customHeight="1">
      <c r="A10" s="94" t="s">
        <v>59</v>
      </c>
      <c r="B10" s="74">
        <v>58000000</v>
      </c>
      <c r="D10" s="93"/>
      <c r="E10"/>
      <c r="F10"/>
      <c r="G10"/>
    </row>
    <row r="11" spans="1:9" s="95" customFormat="1" ht="12" customHeight="1">
      <c r="A11" s="94" t="s">
        <v>25</v>
      </c>
      <c r="B11" s="75">
        <v>0</v>
      </c>
      <c r="D11" s="93"/>
      <c r="E11"/>
      <c r="F11"/>
      <c r="G11"/>
      <c r="H11" s="93"/>
      <c r="I11" s="93"/>
    </row>
    <row r="12" spans="1:9" s="95" customFormat="1">
      <c r="A12" s="94" t="s">
        <v>60</v>
      </c>
      <c r="B12" s="75">
        <v>457000000</v>
      </c>
      <c r="D12" s="93"/>
      <c r="E12"/>
      <c r="F12"/>
      <c r="G12"/>
      <c r="H12" s="93"/>
      <c r="I12" s="93"/>
    </row>
    <row r="13" spans="1:9" s="95" customFormat="1">
      <c r="A13" s="94" t="s">
        <v>25</v>
      </c>
      <c r="B13" s="75">
        <v>0</v>
      </c>
      <c r="D13" s="93"/>
      <c r="E13"/>
      <c r="F13"/>
      <c r="G13"/>
      <c r="H13" s="93"/>
      <c r="I13" s="93"/>
    </row>
    <row r="14" spans="1:9" s="95" customFormat="1">
      <c r="A14" s="94" t="s">
        <v>61</v>
      </c>
      <c r="B14" s="75">
        <v>585024000</v>
      </c>
      <c r="D14" s="93"/>
      <c r="E14"/>
      <c r="F14"/>
      <c r="G14"/>
      <c r="H14" s="93"/>
      <c r="I14" s="93"/>
    </row>
    <row r="15" spans="1:9" s="95" customFormat="1">
      <c r="A15" s="94" t="s">
        <v>25</v>
      </c>
      <c r="B15" s="75">
        <v>0</v>
      </c>
      <c r="D15" s="93"/>
      <c r="E15"/>
      <c r="F15"/>
      <c r="G15"/>
      <c r="H15" s="93"/>
      <c r="I15" s="93"/>
    </row>
    <row r="16" spans="1:9" s="95" customFormat="1">
      <c r="A16" s="94" t="s">
        <v>62</v>
      </c>
      <c r="B16" s="75">
        <v>1042024000</v>
      </c>
      <c r="D16" s="93"/>
      <c r="E16"/>
      <c r="F16"/>
      <c r="G16"/>
      <c r="H16" s="93"/>
      <c r="I16" s="93"/>
    </row>
    <row r="17" spans="1:9" s="95" customFormat="1">
      <c r="A17" s="94" t="s">
        <v>25</v>
      </c>
      <c r="B17" s="75">
        <v>0</v>
      </c>
      <c r="D17" s="93"/>
      <c r="E17"/>
      <c r="F17"/>
      <c r="G17"/>
      <c r="H17" s="93"/>
      <c r="I17" s="93"/>
    </row>
    <row r="18" spans="1:9" s="95" customFormat="1">
      <c r="A18" s="94" t="s">
        <v>63</v>
      </c>
      <c r="B18" s="75">
        <v>124000000</v>
      </c>
      <c r="D18" s="93"/>
      <c r="E18"/>
      <c r="F18"/>
      <c r="G18"/>
    </row>
    <row r="19" spans="1:9" s="95" customFormat="1">
      <c r="A19" s="94" t="s">
        <v>64</v>
      </c>
      <c r="B19" s="75">
        <v>455000000</v>
      </c>
      <c r="D19" s="93"/>
      <c r="E19"/>
      <c r="F19"/>
      <c r="G19"/>
    </row>
    <row r="20" spans="1:9" s="95" customFormat="1">
      <c r="A20" s="94" t="s">
        <v>25</v>
      </c>
      <c r="B20" s="75">
        <v>0</v>
      </c>
      <c r="D20" s="93"/>
      <c r="E20"/>
      <c r="F20"/>
      <c r="G20"/>
    </row>
    <row r="21" spans="1:9" s="95" customFormat="1">
      <c r="A21" s="94" t="s">
        <v>65</v>
      </c>
      <c r="B21" s="75">
        <v>579000000</v>
      </c>
      <c r="D21" s="93"/>
      <c r="E21"/>
      <c r="F21"/>
      <c r="G21"/>
    </row>
    <row r="22" spans="1:9" s="95" customFormat="1">
      <c r="A22" s="94" t="s">
        <v>25</v>
      </c>
      <c r="B22" s="75">
        <v>0</v>
      </c>
      <c r="D22" s="93"/>
      <c r="E22"/>
      <c r="F22"/>
      <c r="G22"/>
    </row>
    <row r="23" spans="1:9" s="95" customFormat="1">
      <c r="A23" s="94" t="s">
        <v>66</v>
      </c>
      <c r="B23" s="75">
        <v>0</v>
      </c>
      <c r="D23" s="93"/>
      <c r="E23"/>
      <c r="F23"/>
      <c r="G23"/>
    </row>
    <row r="24" spans="1:9" s="95" customFormat="1">
      <c r="A24" s="94" t="s">
        <v>67</v>
      </c>
      <c r="B24" s="75">
        <v>100000000</v>
      </c>
      <c r="D24" s="93"/>
      <c r="E24"/>
      <c r="F24"/>
      <c r="G24"/>
      <c r="I24" s="96"/>
    </row>
    <row r="25" spans="1:9" s="95" customFormat="1">
      <c r="A25" s="94" t="s">
        <v>25</v>
      </c>
      <c r="B25" s="75">
        <v>0</v>
      </c>
      <c r="D25" s="93"/>
      <c r="E25"/>
      <c r="F25"/>
      <c r="G25"/>
    </row>
    <row r="26" spans="1:9" s="95" customFormat="1">
      <c r="A26" s="94" t="s">
        <v>68</v>
      </c>
      <c r="B26" s="75">
        <v>679000000</v>
      </c>
      <c r="D26" s="93"/>
      <c r="E26"/>
      <c r="F26"/>
      <c r="G26"/>
    </row>
    <row r="27" spans="1:9" s="95" customFormat="1">
      <c r="A27" s="94" t="s">
        <v>25</v>
      </c>
      <c r="B27" s="75">
        <v>0</v>
      </c>
      <c r="D27" s="93"/>
      <c r="E27"/>
      <c r="F27"/>
      <c r="G27"/>
    </row>
    <row r="28" spans="1:9" s="95" customFormat="1">
      <c r="A28" s="94" t="s">
        <v>69</v>
      </c>
      <c r="B28" s="75">
        <v>216000000</v>
      </c>
      <c r="D28" s="93"/>
      <c r="E28"/>
      <c r="F28"/>
      <c r="G28"/>
    </row>
    <row r="29" spans="1:9" s="95" customFormat="1">
      <c r="A29" s="94" t="s">
        <v>70</v>
      </c>
      <c r="B29" s="75">
        <v>147024000</v>
      </c>
      <c r="D29" s="93"/>
      <c r="E29"/>
      <c r="F29"/>
      <c r="G29"/>
    </row>
    <row r="30" spans="1:9" s="95" customFormat="1">
      <c r="A30" s="94" t="s">
        <v>25</v>
      </c>
      <c r="B30" s="75">
        <v>0</v>
      </c>
      <c r="D30" s="93"/>
      <c r="E30"/>
      <c r="F30"/>
      <c r="G30"/>
    </row>
    <row r="31" spans="1:9" s="95" customFormat="1">
      <c r="A31" s="94" t="s">
        <v>71</v>
      </c>
      <c r="B31" s="75">
        <v>363024000</v>
      </c>
      <c r="D31" s="93"/>
      <c r="E31"/>
      <c r="F31"/>
      <c r="G31"/>
    </row>
    <row r="32" spans="1:9" s="95" customFormat="1">
      <c r="A32" s="94" t="s">
        <v>25</v>
      </c>
      <c r="B32" s="75">
        <v>0</v>
      </c>
      <c r="D32" s="93"/>
      <c r="E32"/>
      <c r="F32"/>
      <c r="G32"/>
    </row>
    <row r="33" spans="1:7" s="95" customFormat="1" ht="13.5" thickBot="1">
      <c r="A33" s="97" t="s">
        <v>72</v>
      </c>
      <c r="B33" s="76">
        <v>0</v>
      </c>
      <c r="D33" s="93"/>
      <c r="E33"/>
      <c r="F33"/>
      <c r="G33"/>
    </row>
    <row r="34" spans="1:7">
      <c r="A34"/>
      <c r="B34"/>
      <c r="E34"/>
      <c r="F34"/>
      <c r="G34"/>
    </row>
    <row r="35" spans="1:7">
      <c r="A35"/>
      <c r="B35"/>
    </row>
    <row r="36" spans="1:7">
      <c r="A36"/>
      <c r="B36"/>
    </row>
    <row r="37" spans="1:7">
      <c r="A37"/>
      <c r="B37"/>
    </row>
    <row r="38" spans="1:7">
      <c r="A38"/>
      <c r="B38"/>
    </row>
    <row r="39" spans="1:7">
      <c r="A39"/>
      <c r="B39"/>
    </row>
    <row r="40" spans="1:7">
      <c r="A40"/>
      <c r="B40"/>
    </row>
    <row r="41" spans="1:7">
      <c r="A41"/>
      <c r="B41"/>
    </row>
    <row r="42" spans="1:7">
      <c r="A42"/>
      <c r="B42"/>
    </row>
  </sheetData>
  <phoneticPr fontId="0" type="noConversion"/>
  <pageMargins left="0.75" right="0.75" top="1" bottom="1" header="0" footer="0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11"/>
  </sheetPr>
  <dimension ref="A1:B28"/>
  <sheetViews>
    <sheetView zoomScale="85" zoomScaleNormal="85" workbookViewId="0">
      <pane xSplit="2" ySplit="2" topLeftCell="C3" activePane="bottomRight" state="frozen"/>
      <selection activeCell="A6" sqref="A6:A11"/>
      <selection pane="topRight" activeCell="A6" sqref="A6:A11"/>
      <selection pane="bottomLeft" activeCell="A6" sqref="A6:A11"/>
      <selection pane="bottomRight" sqref="A1:B28"/>
    </sheetView>
  </sheetViews>
  <sheetFormatPr baseColWidth="10" defaultColWidth="11.42578125" defaultRowHeight="12.75"/>
  <cols>
    <col min="1" max="1" width="16.42578125" bestFit="1" customWidth="1"/>
    <col min="2" max="2" width="20.28515625" bestFit="1" customWidth="1"/>
  </cols>
  <sheetData>
    <row r="1" spans="1:2">
      <c r="A1" t="s">
        <v>39</v>
      </c>
      <c r="B1" t="s">
        <v>17</v>
      </c>
    </row>
    <row r="2" spans="1:2">
      <c r="A2" t="str">
        <f>+TEXT('Financial Statements'!A6,"0")</f>
        <v>Cash and Banks</v>
      </c>
      <c r="B2">
        <f>+'Financial Statements'!B6</f>
        <v>68000000</v>
      </c>
    </row>
    <row r="3" spans="1:2">
      <c r="A3" t="str">
        <f>+TEXT('Financial Statements'!A7,"0")</f>
        <v>Current Investments</v>
      </c>
      <c r="B3">
        <f>+'Financial Statements'!B7</f>
        <v>90000000</v>
      </c>
    </row>
    <row r="4" spans="1:2">
      <c r="A4" t="str">
        <f>+TEXT('Financial Statements'!A8,"0")</f>
        <v>Inventory</v>
      </c>
      <c r="B4">
        <f>+'Financial Statements'!B8</f>
        <v>142000000</v>
      </c>
    </row>
    <row r="5" spans="1:2">
      <c r="A5" t="str">
        <f>+TEXT('Financial Statements'!A9,"0")</f>
        <v>Trade Debtors</v>
      </c>
      <c r="B5">
        <f>+'Financial Statements'!B9</f>
        <v>99000000</v>
      </c>
    </row>
    <row r="6" spans="1:2">
      <c r="A6" t="str">
        <f>+TEXT('Financial Statements'!A10,"0")</f>
        <v>Work in Progress</v>
      </c>
      <c r="B6">
        <f>+'Financial Statements'!B10</f>
        <v>58000000</v>
      </c>
    </row>
    <row r="7" spans="1:2">
      <c r="A7" t="str">
        <f>+TEXT('Financial Statements'!A11,"0")</f>
        <v xml:space="preserve">     -----</v>
      </c>
      <c r="B7">
        <f>+'Financial Statements'!B11</f>
        <v>0</v>
      </c>
    </row>
    <row r="8" spans="1:2">
      <c r="A8" t="str">
        <f>+TEXT('Financial Statements'!A12,"0")</f>
        <v>Short Term Assets</v>
      </c>
      <c r="B8">
        <f>+'Financial Statements'!B12</f>
        <v>457000000</v>
      </c>
    </row>
    <row r="9" spans="1:2">
      <c r="A9" t="str">
        <f>+TEXT('Financial Statements'!A13,"0")</f>
        <v xml:space="preserve">     -----</v>
      </c>
      <c r="B9">
        <f>+'Financial Statements'!B13</f>
        <v>0</v>
      </c>
    </row>
    <row r="10" spans="1:2">
      <c r="A10" t="str">
        <f>+TEXT('Financial Statements'!A14,"0")</f>
        <v>Net Fixed Assets</v>
      </c>
      <c r="B10">
        <f>+'Financial Statements'!B14</f>
        <v>585024000</v>
      </c>
    </row>
    <row r="11" spans="1:2">
      <c r="A11" t="str">
        <f>+TEXT('Financial Statements'!A15,"0")</f>
        <v xml:space="preserve">     -----</v>
      </c>
      <c r="B11">
        <f>+'Financial Statements'!B15</f>
        <v>0</v>
      </c>
    </row>
    <row r="12" spans="1:2">
      <c r="A12" t="str">
        <f>+TEXT('Financial Statements'!A16,"0")</f>
        <v>Total Assets</v>
      </c>
      <c r="B12">
        <f>+'Financial Statements'!B16</f>
        <v>1042024000</v>
      </c>
    </row>
    <row r="13" spans="1:2">
      <c r="A13" t="str">
        <f>+TEXT('Financial Statements'!A17,"0")</f>
        <v xml:space="preserve">     -----</v>
      </c>
      <c r="B13">
        <f>+'Financial Statements'!B17</f>
        <v>0</v>
      </c>
    </row>
    <row r="14" spans="1:2">
      <c r="A14" t="str">
        <f>+TEXT('Financial Statements'!A18,"0")</f>
        <v>Trade Creditors</v>
      </c>
      <c r="B14">
        <f>+'Financial Statements'!B18</f>
        <v>124000000</v>
      </c>
    </row>
    <row r="15" spans="1:2">
      <c r="A15" t="str">
        <f>+TEXT('Financial Statements'!A19,"0")</f>
        <v>Short Term Debt</v>
      </c>
      <c r="B15">
        <f>+'Financial Statements'!B19</f>
        <v>455000000</v>
      </c>
    </row>
    <row r="16" spans="1:2">
      <c r="A16" t="str">
        <f>+TEXT('Financial Statements'!A20,"0")</f>
        <v xml:space="preserve">     -----</v>
      </c>
      <c r="B16">
        <f>+'Financial Statements'!B20</f>
        <v>0</v>
      </c>
    </row>
    <row r="17" spans="1:2">
      <c r="A17" t="str">
        <f>+TEXT('Financial Statements'!A21,"0")</f>
        <v>Short Term Liabilities</v>
      </c>
      <c r="B17">
        <f>+'Financial Statements'!B21</f>
        <v>579000000</v>
      </c>
    </row>
    <row r="18" spans="1:2">
      <c r="A18" t="str">
        <f>+TEXT('Financial Statements'!A22,"0")</f>
        <v xml:space="preserve">     -----</v>
      </c>
      <c r="B18">
        <f>+'Financial Statements'!B22</f>
        <v>0</v>
      </c>
    </row>
    <row r="19" spans="1:2">
      <c r="A19" t="str">
        <f>+TEXT('Financial Statements'!A23,"0")</f>
        <v>Interest to Pay</v>
      </c>
      <c r="B19">
        <f>+'Financial Statements'!B23</f>
        <v>0</v>
      </c>
    </row>
    <row r="20" spans="1:2">
      <c r="A20" t="str">
        <f>+TEXT('Financial Statements'!A24,"0")</f>
        <v>Long Term Debt</v>
      </c>
      <c r="B20">
        <f>+'Financial Statements'!B24</f>
        <v>100000000</v>
      </c>
    </row>
    <row r="21" spans="1:2">
      <c r="A21" t="str">
        <f>+TEXT('Financial Statements'!A25,"0")</f>
        <v xml:space="preserve">     -----</v>
      </c>
      <c r="B21">
        <f>+'Financial Statements'!B25</f>
        <v>0</v>
      </c>
    </row>
    <row r="22" spans="1:2">
      <c r="A22" t="str">
        <f>+TEXT('Financial Statements'!A26,"0")</f>
        <v>Total Liabilities</v>
      </c>
      <c r="B22">
        <f>+'Financial Statements'!B26</f>
        <v>679000000</v>
      </c>
    </row>
    <row r="23" spans="1:2">
      <c r="A23" t="str">
        <f>+TEXT('Financial Statements'!A27,"0")</f>
        <v xml:space="preserve">     -----</v>
      </c>
      <c r="B23">
        <f>+'Financial Statements'!B27</f>
        <v>0</v>
      </c>
    </row>
    <row r="24" spans="1:2">
      <c r="A24" t="str">
        <f>+TEXT('Financial Statements'!A28,"0")</f>
        <v>Reserves</v>
      </c>
      <c r="B24">
        <f>+'Financial Statements'!B28</f>
        <v>216000000</v>
      </c>
    </row>
    <row r="25" spans="1:2">
      <c r="A25" t="str">
        <f>+TEXT('Financial Statements'!A29,"0")</f>
        <v>Retained Earnings</v>
      </c>
      <c r="B25">
        <f>+'Financial Statements'!B29</f>
        <v>147024000</v>
      </c>
    </row>
    <row r="26" spans="1:2">
      <c r="A26" t="str">
        <f>+TEXT('Financial Statements'!A30,"0")</f>
        <v xml:space="preserve">     -----</v>
      </c>
      <c r="B26">
        <f>+'Financial Statements'!B30</f>
        <v>0</v>
      </c>
    </row>
    <row r="27" spans="1:2">
      <c r="A27" t="str">
        <f>+TEXT('Financial Statements'!A31,"0")</f>
        <v>Total Equity</v>
      </c>
      <c r="B27">
        <f>+'Financial Statements'!B31</f>
        <v>363024000</v>
      </c>
    </row>
    <row r="28" spans="1:2">
      <c r="A28" t="str">
        <f>+TEXT('Financial Statements'!A32,"0")</f>
        <v xml:space="preserve">     -----</v>
      </c>
      <c r="B28">
        <f>+'Financial Statements'!B32</f>
        <v>0</v>
      </c>
    </row>
  </sheetData>
  <phoneticPr fontId="0" type="noConversion"/>
  <pageMargins left="0.75" right="0.75" top="1" bottom="1" header="0" footer="0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ubecalcdata>
  <xs:schema xmlns="" xmlns:xs="http://www.w3.org/2001/XMLSchema" xmlns:msdata="urn:schemas-microsoft-com:xml-msdata" id="cubecalcdata">
    <xs:element name="cubecalcdata" msdata:IsDataSet="true" msdata:UseCurrentLocale="true">
      <xs:complexType>
        <xs:choice minOccurs="0" maxOccurs="unbounded">
          <xs:element name="nodelist">
            <xs:complexType>
              <xs:sequence>
                <xs:element name="node" type="xs:string" minOccurs="0"/>
                <xs:element name="format" type="xs:string" minOccurs="0"/>
                <xs:element name="row" type="xs:string" minOccurs="0"/>
                <xs:element name="col" type="xs:string" minOccurs="0"/>
              </xs:sequence>
            </xs:complexType>
          </xs:element>
        </xs:choice>
      </xs:complexType>
    </xs:element>
  </xs:schema>
  <nodelist>
    <node>PathInServer</node>
    <format>IPM Coca-Cola Demo - Eng\Generic Business Input Template</format>
    <col/>
  </nodelist>
</cubecalcdata>
</file>

<file path=customXml/itemProps1.xml><?xml version="1.0" encoding="utf-8"?>
<ds:datastoreItem xmlns:ds="http://schemas.openxmlformats.org/officeDocument/2006/customXml" ds:itemID="{6F8AD8DD-EE9D-4669-9975-B5D724DA83EE}">
  <ds:schemaRefs>
    <ds:schemaRef ds:uri=""/>
    <ds:schemaRef ds:uri="http://www.w3.org/2001/XMLSchema"/>
    <ds:schemaRef ds:uri="urn:schemas-microsoft-com:xml-ms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11</vt:i4>
      </vt:variant>
    </vt:vector>
  </HeadingPairs>
  <TitlesOfParts>
    <vt:vector size="19" baseType="lpstr">
      <vt:lpstr>Front Page</vt:lpstr>
      <vt:lpstr>Front_page</vt:lpstr>
      <vt:lpstr>Potential Market</vt:lpstr>
      <vt:lpstr>Potential_mkt</vt:lpstr>
      <vt:lpstr>OPEX</vt:lpstr>
      <vt:lpstr>Opex_</vt:lpstr>
      <vt:lpstr>Financial Statements</vt:lpstr>
      <vt:lpstr>Financial_statements</vt:lpstr>
      <vt:lpstr>Curr_tariffs</vt:lpstr>
      <vt:lpstr>Opex_!Dom_gen_info</vt:lpstr>
      <vt:lpstr>Dom_gen_info</vt:lpstr>
      <vt:lpstr>Estados_financieros</vt:lpstr>
      <vt:lpstr>Financial_statements</vt:lpstr>
      <vt:lpstr>Front_page</vt:lpstr>
      <vt:lpstr>Opex_!Global_dem</vt:lpstr>
      <vt:lpstr>Global_dem</vt:lpstr>
      <vt:lpstr>Open_balance</vt:lpstr>
      <vt:lpstr>Opex_</vt:lpstr>
      <vt:lpstr>Potential_mkt</vt:lpstr>
    </vt:vector>
  </TitlesOfParts>
  <Company>Quantum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Novix Template</dc:title>
  <dc:creator>Gino</dc:creator>
  <cp:lastModifiedBy>Lucas Lascano</cp:lastModifiedBy>
  <dcterms:created xsi:type="dcterms:W3CDTF">2005-03-08T13:12:40Z</dcterms:created>
  <dcterms:modified xsi:type="dcterms:W3CDTF">2019-06-04T18:08:30Z</dcterms:modified>
</cp:coreProperties>
</file>